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filterPrivacy="1"/>
  <xr:revisionPtr revIDLastSave="17823" documentId="11_0B1D56BE9CDCCE836B02CE7A5FB0D4A9BBFD1C62" xr6:coauthVersionLast="47" xr6:coauthVersionMax="47" xr10:uidLastSave="{E350E3E8-8966-4F75-80AC-47E9B410DE69}"/>
  <bookViews>
    <workbookView xWindow="-28920" yWindow="-120" windowWidth="29040" windowHeight="15720" activeTab="1" xr2:uid="{00000000-000D-0000-FFFF-FFFF00000000}"/>
  </bookViews>
  <sheets>
    <sheet name="Tasks" sheetId="10" r:id="rId1"/>
    <sheet name="Timeline" sheetId="7" r:id="rId2"/>
    <sheet name="Guideline" sheetId="1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0" l="1"/>
  <c r="J14" i="10"/>
  <c r="B14" i="10"/>
  <c r="K3" i="10"/>
  <c r="K4" i="10"/>
  <c r="K5" i="10"/>
  <c r="K6" i="10"/>
  <c r="K7" i="10"/>
  <c r="K8" i="10"/>
  <c r="K9" i="10"/>
  <c r="K10" i="10"/>
  <c r="K11" i="10"/>
  <c r="K12" i="10"/>
  <c r="K13" i="10"/>
  <c r="K15" i="10"/>
  <c r="J15" i="10"/>
  <c r="B15" i="10"/>
  <c r="J13" i="10"/>
  <c r="B13" i="10"/>
  <c r="J12" i="10"/>
  <c r="B12" i="10"/>
  <c r="J11" i="10"/>
  <c r="B11" i="10"/>
  <c r="J10" i="10"/>
  <c r="B10" i="10"/>
  <c r="B4" i="10"/>
  <c r="B5" i="10"/>
  <c r="B6" i="10"/>
  <c r="B7" i="10"/>
  <c r="B8" i="10"/>
  <c r="B9" i="10"/>
  <c r="J8" i="10"/>
  <c r="J9" i="10"/>
  <c r="J6" i="10"/>
  <c r="J5" i="10"/>
  <c r="J7" i="10"/>
  <c r="J4" i="10"/>
  <c r="J3" i="10"/>
  <c r="B3" i="10"/>
</calcChain>
</file>

<file path=xl/sharedStrings.xml><?xml version="1.0" encoding="utf-8"?>
<sst xmlns="http://schemas.openxmlformats.org/spreadsheetml/2006/main" count="378" uniqueCount="218">
  <si>
    <t>AT RISK</t>
  </si>
  <si>
    <t>PROJECT</t>
  </si>
  <si>
    <t>OWNER</t>
  </si>
  <si>
    <t>TASK</t>
  </si>
  <si>
    <t>STORY POINTS</t>
  </si>
  <si>
    <t>START</t>
  </si>
  <si>
    <t>FINISH</t>
  </si>
  <si>
    <t>PERCENT</t>
  </si>
  <si>
    <r>
      <t xml:space="preserve">DURATION
</t>
    </r>
    <r>
      <rPr>
        <sz val="11"/>
        <color theme="0"/>
        <rFont val="Aptos Narrow"/>
        <scheme val="minor"/>
      </rPr>
      <t>in days</t>
    </r>
  </si>
  <si>
    <t>STATUS</t>
  </si>
  <si>
    <t>COMMENTS</t>
  </si>
  <si>
    <t>CUSTOMER PORTAL</t>
  </si>
  <si>
    <t>Sarah</t>
  </si>
  <si>
    <t>Requeirements gathering</t>
  </si>
  <si>
    <t>Database structure</t>
  </si>
  <si>
    <t>Ethan</t>
  </si>
  <si>
    <t>Authentication module</t>
  </si>
  <si>
    <t>Dashboard development</t>
  </si>
  <si>
    <t>Dashboard charts under development</t>
  </si>
  <si>
    <t>Sophia</t>
  </si>
  <si>
    <t>User acceptance testing</t>
  </si>
  <si>
    <t>Stakeholder availability</t>
  </si>
  <si>
    <t>Waiting for stakeholder feedback</t>
  </si>
  <si>
    <t>INVENTORY SYSTEM</t>
  </si>
  <si>
    <t>Noah</t>
  </si>
  <si>
    <t>Data model</t>
  </si>
  <si>
    <t>Emma</t>
  </si>
  <si>
    <t>Automation scripts</t>
  </si>
  <si>
    <t>Final validation pending</t>
  </si>
  <si>
    <t>Integration testing</t>
  </si>
  <si>
    <t>Dependency on external systems</t>
  </si>
  <si>
    <t>Integration issue identified</t>
  </si>
  <si>
    <t>ANALYTICS DASHBOARD</t>
  </si>
  <si>
    <t>Liam</t>
  </si>
  <si>
    <t>KPI definition</t>
  </si>
  <si>
    <t>Data preparation</t>
  </si>
  <si>
    <t>Ana</t>
  </si>
  <si>
    <t>Dashboard layout</t>
  </si>
  <si>
    <t>Final layout adjustments</t>
  </si>
  <si>
    <t>Performace indicators</t>
  </si>
  <si>
    <t>Initial development</t>
  </si>
  <si>
    <t>Start:</t>
  </si>
  <si>
    <t>31/01/2026</t>
  </si>
  <si>
    <t>13/02/2026</t>
  </si>
  <si>
    <t>14/02/2026</t>
  </si>
  <si>
    <t>15/02/2026</t>
  </si>
  <si>
    <t>16/02/2026</t>
  </si>
  <si>
    <t>17/02/2026</t>
  </si>
  <si>
    <t>18/02/2026</t>
  </si>
  <si>
    <t>19/02/2026</t>
  </si>
  <si>
    <t>20/02/2026</t>
  </si>
  <si>
    <t>21/02/2026</t>
  </si>
  <si>
    <t>22/02/2026</t>
  </si>
  <si>
    <t>23/02/2026</t>
  </si>
  <si>
    <t>24/02/2026</t>
  </si>
  <si>
    <t>25/02/2026</t>
  </si>
  <si>
    <t>26/02/2026</t>
  </si>
  <si>
    <t>27/02/2026</t>
  </si>
  <si>
    <t>28/02/2026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</si>
  <si>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</si>
  <si>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</si>
  <si>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</si>
  <si>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</si>
  <si>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</si>
  <si>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</si>
  <si>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</si>
  <si>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</si>
  <si>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</si>
  <si>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</si>
  <si>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23/03/2026</t>
  </si>
  <si>
    <t>24/03/2026</t>
  </si>
  <si>
    <t>25/03/2026</t>
  </si>
  <si>
    <t>26/03/2026</t>
  </si>
  <si>
    <t>27/03/2026</t>
  </si>
  <si>
    <t>28/03/2026</t>
  </si>
  <si>
    <t>29/03/2026</t>
  </si>
  <si>
    <t>30/03/2026</t>
  </si>
  <si>
    <t>31/03/2026</t>
  </si>
  <si>
    <t>End:</t>
  </si>
  <si>
    <t>completed</t>
  </si>
  <si>
    <t>█</t>
  </si>
  <si>
    <t>on hold</t>
  </si>
  <si>
    <t>PROJECT MANAGEMENT SYSTEM</t>
  </si>
  <si>
    <t>Excel + Office Script</t>
  </si>
  <si>
    <t>A lightweight project management system built entirely in Microsoft Excel</t>
  </si>
  <si>
    <t>Designed to provide a simple and visual way to organize projects, track tasks, monitor deadlines, identify risks, and visualize project timelines — without requiring additional project management software.</t>
  </si>
  <si>
    <t>01 - GETTING STARTED</t>
  </si>
  <si>
    <t>The system is organized into two main areas:</t>
  </si>
  <si>
    <t>TASKS</t>
  </si>
  <si>
    <t>The main workspace where project information is entered and managed.</t>
  </si>
  <si>
    <t>TIMELINE</t>
  </si>
  <si>
    <t>An automatically generated visual timeline based on the information entered in the Tasks worksheet.</t>
  </si>
  <si>
    <r>
      <t xml:space="preserve">You only need to maintain your project information in the </t>
    </r>
    <r>
      <rPr>
        <b/>
        <sz val="11"/>
        <color theme="1"/>
        <rFont val="Aptos Narrow"/>
        <family val="2"/>
        <scheme val="minor"/>
      </rPr>
      <t>Tasks</t>
    </r>
    <r>
      <rPr>
        <sz val="11"/>
        <color theme="1"/>
        <rFont val="Aptos Narrow"/>
        <family val="2"/>
        <scheme val="minor"/>
      </rPr>
      <t xml:space="preserve"> worksheet. The Timeline is generated automatically by the Office Script.</t>
    </r>
  </si>
  <si>
    <t>02 - TASKS</t>
  </si>
  <si>
    <t>Each row represents one task within a project.</t>
  </si>
  <si>
    <t>FIELD</t>
  </si>
  <si>
    <t>DESCRIPTION</t>
  </si>
  <si>
    <t>Indicates whether the task requires attention due to an identified risk.</t>
  </si>
  <si>
    <t>Name of the project associated with the task.</t>
  </si>
  <si>
    <t>Person responsible for the task.</t>
  </si>
  <si>
    <t>Activity or deliverable that needs to be completed.</t>
  </si>
  <si>
    <t>RISK</t>
  </si>
  <si>
    <t>Description of a potential issue, dependency, or condition that may affect the task.</t>
  </si>
  <si>
    <t>Planned start date.</t>
  </si>
  <si>
    <t>Planned completion date.</t>
  </si>
  <si>
    <t>PERCENT COMPLETE</t>
  </si>
  <si>
    <t>Current completion percentage of the task.</t>
  </si>
  <si>
    <t>DURATION (days)</t>
  </si>
  <si>
    <t>Number of days planned for the task.</t>
  </si>
  <si>
    <t>Current task status.</t>
  </si>
  <si>
    <t>Additional information, notes, decisions, or updates.</t>
  </si>
  <si>
    <t>03 - STATUS</t>
  </si>
  <si>
    <t>Use one of the following status values:</t>
  </si>
  <si>
    <t>NOT STARTED</t>
  </si>
  <si>
    <t>The task has not started yet.</t>
  </si>
  <si>
    <t>IN PROGRESS</t>
  </si>
  <si>
    <t>The task is currently being worked on.</t>
  </si>
  <si>
    <t>ON HOLD</t>
  </si>
  <si>
    <t>The task has been temporarily paused.</t>
  </si>
  <si>
    <t>COMPLETED</t>
  </si>
  <si>
    <t>The task has been completed.</t>
  </si>
  <si>
    <t>Using standardized status values is important because the Timeline uses them to determine the visual representation of each task.</t>
  </si>
  <si>
    <t>04 - PROJECT COLORS</t>
  </si>
  <si>
    <r>
      <t xml:space="preserve">Projects are automatically identified using </t>
    </r>
    <r>
      <rPr>
        <b/>
        <sz val="11"/>
        <color theme="1"/>
        <rFont val="Aptos Narrow"/>
        <family val="2"/>
        <scheme val="minor"/>
      </rPr>
      <t>pastel colors</t>
    </r>
    <r>
      <rPr>
        <sz val="11"/>
        <color theme="1"/>
        <rFont val="Aptos Narrow"/>
        <family val="2"/>
        <scheme val="minor"/>
      </rPr>
      <t>.</t>
    </r>
  </si>
  <si>
    <t>Each project receives its own visual color, making it easier to distinguish multiple projects within the Timeline.</t>
  </si>
  <si>
    <t>You do not need to manually configure a color when creating a new project.</t>
  </si>
  <si>
    <r>
      <t xml:space="preserve">Simply enter the project name in the </t>
    </r>
    <r>
      <rPr>
        <b/>
        <sz val="11"/>
        <color theme="1"/>
        <rFont val="Aptos Narrow"/>
        <family val="2"/>
        <scheme val="minor"/>
      </rPr>
      <t>PROJECT</t>
    </r>
    <r>
      <rPr>
        <sz val="11"/>
        <color theme="1"/>
        <rFont val="Aptos Narrow"/>
        <family val="2"/>
        <scheme val="minor"/>
      </rPr>
      <t xml:space="preserve"> column.</t>
    </r>
  </si>
  <si>
    <t>The system will automatically assign its visual identity.</t>
  </si>
  <si>
    <r>
      <t>PROJECT A</t>
    </r>
    <r>
      <rPr>
        <sz val="11"/>
        <color theme="1"/>
        <rFont val="Aptos Narrow"/>
        <family val="2"/>
        <scheme val="minor"/>
      </rPr>
      <t xml:space="preserve"> → Pastel Blue</t>
    </r>
  </si>
  <si>
    <r>
      <t>PROJECT B</t>
    </r>
    <r>
      <rPr>
        <sz val="11"/>
        <color theme="1"/>
        <rFont val="Aptos Narrow"/>
        <family val="2"/>
        <scheme val="minor"/>
      </rPr>
      <t xml:space="preserve"> → Pastel Purple</t>
    </r>
  </si>
  <si>
    <r>
      <t>PROJECT C</t>
    </r>
    <r>
      <rPr>
        <sz val="11"/>
        <color theme="1"/>
        <rFont val="Aptos Narrow"/>
        <family val="2"/>
        <scheme val="minor"/>
      </rPr>
      <t xml:space="preserve"> → Pastel Green</t>
    </r>
  </si>
  <si>
    <r>
      <t>PROJECT D</t>
    </r>
    <r>
      <rPr>
        <sz val="11"/>
        <color theme="1"/>
        <rFont val="Aptos Narrow"/>
        <family val="2"/>
        <scheme val="minor"/>
      </rPr>
      <t xml:space="preserve"> → Pastel Yellow</t>
    </r>
  </si>
  <si>
    <r>
      <t>PROJECT E</t>
    </r>
    <r>
      <rPr>
        <sz val="11"/>
        <color theme="1"/>
        <rFont val="Aptos Narrow"/>
        <family val="2"/>
        <scheme val="minor"/>
      </rPr>
      <t xml:space="preserve"> → Pastel Pink</t>
    </r>
  </si>
  <si>
    <t>The pastel palette was intentionally selected to keep the interface clean, readable, and suitable for professional environments.</t>
  </si>
  <si>
    <t>05 - TIMELINE</t>
  </si>
  <si>
    <r>
      <t xml:space="preserve">The </t>
    </r>
    <r>
      <rPr>
        <b/>
        <sz val="11"/>
        <color theme="1"/>
        <rFont val="Aptos Narrow"/>
        <family val="2"/>
        <scheme val="minor"/>
      </rPr>
      <t>Timeline</t>
    </r>
    <r>
      <rPr>
        <sz val="11"/>
        <color theme="1"/>
        <rFont val="Aptos Narrow"/>
        <family val="2"/>
        <scheme val="minor"/>
      </rPr>
      <t xml:space="preserve"> provides a visual representation of your project schedule.</t>
    </r>
  </si>
  <si>
    <t>To generate the Timeline:</t>
  </si>
  <si>
    <r>
      <t>1.</t>
    </r>
    <r>
      <rPr>
        <sz val="11"/>
        <color theme="1"/>
        <rFont val="Aptos Narrow"/>
        <family val="2"/>
        <scheme val="minor"/>
      </rPr>
      <t xml:space="preserve"> Enter the desired start date.</t>
    </r>
  </si>
  <si>
    <r>
      <t>2.</t>
    </r>
    <r>
      <rPr>
        <sz val="11"/>
        <color theme="1"/>
        <rFont val="Aptos Narrow"/>
        <family val="2"/>
        <scheme val="minor"/>
      </rPr>
      <t xml:space="preserve"> Enter the desired end date.</t>
    </r>
  </si>
  <si>
    <r>
      <t>3.</t>
    </r>
    <r>
      <rPr>
        <sz val="11"/>
        <color theme="1"/>
        <rFont val="Aptos Narrow"/>
        <family val="2"/>
        <scheme val="minor"/>
      </rPr>
      <t xml:space="preserve"> Run the Timeline Office Script.</t>
    </r>
  </si>
  <si>
    <t>The system will automatically:</t>
  </si>
  <si>
    <t>→ Read the selected date range</t>
  </si>
  <si>
    <t>→ Identify tasks within the period</t>
  </si>
  <si>
    <t>→ Organize tasks by project</t>
  </si>
  <si>
    <t>→ Apply project colors</t>
  </si>
  <si>
    <t>→ Apply status colors</t>
  </si>
  <si>
    <t>→ Draw the task duration</t>
  </si>
  <si>
    <t>→ Highlight the current date</t>
  </si>
  <si>
    <t>Only tasks that overlap with the selected date range will appear in the Timeline.</t>
  </si>
  <si>
    <t>06 - READING THE TIMELINE</t>
  </si>
  <si>
    <t>The left side of the Timeline displays:</t>
  </si>
  <si>
    <t>The remaining columns represent calendar dates.</t>
  </si>
  <si>
    <t>A colored bar indicates the period associated with each task.</t>
  </si>
  <si>
    <t>STATUS COLORS</t>
  </si>
  <si>
    <r>
      <t>Green</t>
    </r>
    <r>
      <rPr>
        <sz val="11"/>
        <color theme="1"/>
        <rFont val="Aptos Narrow"/>
        <family val="2"/>
        <scheme val="minor"/>
      </rPr>
      <t xml:space="preserve"> — Completed</t>
    </r>
  </si>
  <si>
    <r>
      <t>Blue</t>
    </r>
    <r>
      <rPr>
        <sz val="11"/>
        <color theme="1"/>
        <rFont val="Aptos Narrow"/>
        <family val="2"/>
        <scheme val="minor"/>
      </rPr>
      <t xml:space="preserve"> — In Progress</t>
    </r>
  </si>
  <si>
    <r>
      <t>Yellow</t>
    </r>
    <r>
      <rPr>
        <sz val="11"/>
        <color theme="1"/>
        <rFont val="Aptos Narrow"/>
        <family val="2"/>
        <scheme val="minor"/>
      </rPr>
      <t xml:space="preserve"> — On Hold</t>
    </r>
  </si>
  <si>
    <r>
      <t>Gray</t>
    </r>
    <r>
      <rPr>
        <sz val="11"/>
        <color theme="1"/>
        <rFont val="Aptos Narrow"/>
        <family val="2"/>
        <scheme val="minor"/>
      </rPr>
      <t xml:space="preserve"> — Not Started</t>
    </r>
  </si>
  <si>
    <t>The current date is highlighted separately to make it easier to understand the project's position in time.</t>
  </si>
  <si>
    <t>07 — ADDING A NEW PROJECT</t>
  </si>
  <si>
    <t>No configuration is required.</t>
  </si>
  <si>
    <r>
      <t xml:space="preserve">Create your project directly in the </t>
    </r>
    <r>
      <rPr>
        <b/>
        <sz val="11"/>
        <color theme="1"/>
        <rFont val="Aptos Narrow"/>
        <family val="2"/>
        <scheme val="minor"/>
      </rPr>
      <t>Tasks</t>
    </r>
    <r>
      <rPr>
        <sz val="11"/>
        <color theme="1"/>
        <rFont val="Aptos Narrow"/>
        <family val="2"/>
        <scheme val="minor"/>
      </rPr>
      <t xml:space="preserve"> worksheet:</t>
    </r>
  </si>
  <si>
    <t>WEBSITE REDESIGN</t>
  </si>
  <si>
    <t>Then add the associated tasks:</t>
  </si>
  <si>
    <t>Requirements</t>
  </si>
  <si>
    <t>UX Design</t>
  </si>
  <si>
    <t>Development</t>
  </si>
  <si>
    <t>Testing</t>
  </si>
  <si>
    <t>Deployment</t>
  </si>
  <si>
    <t>The next time the Timeline script runs, the new project will automatically be included and assigned a pastel color.</t>
  </si>
  <si>
    <t>08 — ADDING A NEW TASK</t>
  </si>
  <si>
    <r>
      <t xml:space="preserve">Create a new row in the </t>
    </r>
    <r>
      <rPr>
        <b/>
        <sz val="11"/>
        <color theme="1"/>
        <rFont val="Aptos Narrow"/>
        <family val="2"/>
        <scheme val="minor"/>
      </rPr>
      <t>Tasks</t>
    </r>
    <r>
      <rPr>
        <sz val="11"/>
        <color theme="1"/>
        <rFont val="Aptos Narrow"/>
        <family val="2"/>
        <scheme val="minor"/>
      </rPr>
      <t xml:space="preserve"> worksheet and complete the required information.</t>
    </r>
  </si>
  <si>
    <t>After updating the table, run the Timeline script again.</t>
  </si>
  <si>
    <t>The Timeline will automatically reflect the new information.</t>
  </si>
  <si>
    <t>09 — RISK MANAGEMENT</t>
  </si>
  <si>
    <r>
      <t xml:space="preserve">The </t>
    </r>
    <r>
      <rPr>
        <b/>
        <sz val="11"/>
        <color theme="1"/>
        <rFont val="Aptos Narrow"/>
        <family val="2"/>
        <scheme val="minor"/>
      </rPr>
      <t>RISK</t>
    </r>
    <r>
      <rPr>
        <sz val="11"/>
        <color theme="1"/>
        <rFont val="Aptos Narrow"/>
        <family val="2"/>
        <scheme val="minor"/>
      </rPr>
      <t xml:space="preserve"> field can be used to document anything that may affect the successful completion of a task.</t>
    </r>
  </si>
  <si>
    <t>Examples include:</t>
  </si>
  <si>
    <t>Dependency on stakeholder approval</t>
  </si>
  <si>
    <t>External system availability</t>
  </si>
  <si>
    <t>Requirements may change</t>
  </si>
  <si>
    <t>Limited resource availability</t>
  </si>
  <si>
    <t>Data quality issues</t>
  </si>
  <si>
    <t>No significant risk identified</t>
  </si>
  <si>
    <t>The purpose of this field is not to calculate task effort. It provides context about potential problems that should be monitored during project execution.</t>
  </si>
  <si>
    <t>10 — RECOMMENDED WORKFLOW</t>
  </si>
  <si>
    <t>PLAN</t>
  </si>
  <si>
    <t>Create the project and define its tasks.</t>
  </si>
  <si>
    <t>↓</t>
  </si>
  <si>
    <t>ASSIGN</t>
  </si>
  <si>
    <t>Define an owner for each activity.</t>
  </si>
  <si>
    <t>ASSESS</t>
  </si>
  <si>
    <t>Identify risks and dependencies.</t>
  </si>
  <si>
    <t>SCHEDULE</t>
  </si>
  <si>
    <t>Define start and finish dates.</t>
  </si>
  <si>
    <t>EXECUTE</t>
  </si>
  <si>
    <t>Update progress and status as work progresses.</t>
  </si>
  <si>
    <t>MONITOR</t>
  </si>
  <si>
    <t>Use the Timeline to visualize deadlines and project progress.</t>
  </si>
  <si>
    <t>COMPLETE</t>
  </si>
  <si>
    <r>
      <t xml:space="preserve">Mark finished activities as </t>
    </r>
    <r>
      <rPr>
        <b/>
        <sz val="11"/>
        <color theme="1"/>
        <rFont val="Aptos Narrow"/>
        <family val="2"/>
        <scheme val="minor"/>
      </rPr>
      <t>Completed</t>
    </r>
    <r>
      <rPr>
        <sz val="11"/>
        <color theme="1"/>
        <rFont val="Aptos Narrow"/>
        <family val="2"/>
        <scheme val="minor"/>
      </rPr>
      <t>.</t>
    </r>
  </si>
  <si>
    <t>11 — IMPORTANT</t>
  </si>
  <si>
    <t>For the automation to work correctly:</t>
  </si>
  <si>
    <t>Do not rename the required columns used by the Office Script.</t>
  </si>
  <si>
    <t>Keep status values consistent.</t>
  </si>
  <si>
    <r>
      <t xml:space="preserve">Use valid Excel dates for </t>
    </r>
    <r>
      <rPr>
        <b/>
        <sz val="11"/>
        <color theme="1"/>
        <rFont val="Aptos Narrow"/>
        <family val="2"/>
        <scheme val="minor"/>
      </rPr>
      <t>START</t>
    </r>
    <r>
      <rPr>
        <sz val="11"/>
        <color theme="1"/>
        <rFont val="Aptos Narrow"/>
        <family val="2"/>
        <scheme val="minor"/>
      </rPr>
      <t xml:space="preserve"> and </t>
    </r>
    <r>
      <rPr>
        <b/>
        <sz val="11"/>
        <color theme="1"/>
        <rFont val="Aptos Narrow"/>
        <family val="2"/>
        <scheme val="minor"/>
      </rPr>
      <t>FINISH</t>
    </r>
    <r>
      <rPr>
        <sz val="11"/>
        <color theme="1"/>
        <rFont val="Aptos Narrow"/>
        <family val="2"/>
        <scheme val="minor"/>
      </rPr>
      <t>.</t>
    </r>
  </si>
  <si>
    <t>Do not manually modify the generated Timeline unless necessary.</t>
  </si>
  <si>
    <r>
      <t xml:space="preserve">Update project information in the </t>
    </r>
    <r>
      <rPr>
        <b/>
        <sz val="11"/>
        <color theme="1"/>
        <rFont val="Aptos Narrow"/>
        <family val="2"/>
        <scheme val="minor"/>
      </rPr>
      <t>Tasks</t>
    </r>
    <r>
      <rPr>
        <sz val="11"/>
        <color theme="1"/>
        <rFont val="Aptos Narrow"/>
        <family val="2"/>
        <scheme val="minor"/>
      </rPr>
      <t xml:space="preserve"> worksheet and regenerate the Timeline instead.</t>
    </r>
  </si>
  <si>
    <t>12 — BUILT WITH</t>
  </si>
  <si>
    <t>Microsoft Excel</t>
  </si>
  <si>
    <t>Office Scripts</t>
  </si>
  <si>
    <t>TypeScript</t>
  </si>
  <si>
    <t>No VBA is required.</t>
  </si>
  <si>
    <t>13 — PROJECT PURPOSE</t>
  </si>
  <si>
    <t>This project was created as a lightweight alternative for managing multiple projects directly inside Excel.</t>
  </si>
  <si>
    <t>The goal is not to reproduce every feature of dedicated project management platforms, but to provide a practical system for teams and individuals who already work extensively with Microsoft Excel.</t>
  </si>
  <si>
    <t>The system focuses on:</t>
  </si>
  <si>
    <t>Simplicity · Visibility · Automation · Risk Awareness · Project Tracking</t>
  </si>
  <si>
    <t>CLEAN DATA. CLEAR PROJECTS. BETTER VISIBILITY.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</si>
</sst>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0"/>
      <name val="Aptos Narrow"/>
      <scheme val="minor"/>
    </font>
    <font>
      <sz val="11"/>
      <color theme="0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rgb="FF161616"/>
      <name val="Aptos Narrow"/>
    </font>
    <font>
      <sz val="11"/>
      <color rgb="FFFF0000"/>
      <name val="Aptos Narrow"/>
    </font>
    <font>
      <sz val="11"/>
      <color theme="5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F8C471"/>
      <name val="Aptos Narrow"/>
      <family val="2"/>
      <scheme val="minor"/>
    </font>
    <font>
      <sz val="11"/>
      <color rgb="FF58D68D"/>
      <name val="Aptos Narrow"/>
      <family val="2"/>
      <scheme val="minor"/>
    </font>
    <font>
      <sz val="11"/>
      <color theme="1"/>
      <name val="Arial Unicode MS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theme="2" tint="-0.499984740745262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A9DFBF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F8C471"/>
        <bgColor indexed="64"/>
      </patternFill>
    </fill>
    <fill>
      <patternFill patternType="solid">
        <fgColor rgb="FF58D68D"/>
        <bgColor indexed="64"/>
      </patternFill>
    </fill>
    <fill>
      <patternFill patternType="solid">
        <fgColor rgb="FFD4E6F1"/>
        <bgColor indexed="64"/>
      </patternFill>
    </fill>
    <fill>
      <patternFill patternType="solid">
        <fgColor rgb="FFBFCEDE"/>
        <bgColor indexed="64"/>
      </patternFill>
    </fill>
    <fill>
      <patternFill patternType="solid">
        <fgColor rgb="FFD5F5E3"/>
        <bgColor indexed="64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/>
    <xf numFmtId="0" fontId="0" fillId="2" borderId="0" xfId="0" applyFill="1"/>
    <xf numFmtId="0" fontId="6" fillId="0" borderId="0" xfId="0" applyFont="1"/>
    <xf numFmtId="0" fontId="7" fillId="0" borderId="0" xfId="0" applyFont="1"/>
    <xf numFmtId="0" fontId="0" fillId="0" borderId="0" xfId="0" applyAlignment="1">
      <alignment vertical="center"/>
    </xf>
    <xf numFmtId="0" fontId="2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 wrapText="1"/>
    </xf>
    <xf numFmtId="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0" fillId="4" borderId="0" xfId="0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/>
    <xf numFmtId="14" fontId="0" fillId="2" borderId="0" xfId="0" applyNumberFormat="1" applyFill="1" applyAlignment="1">
      <alignment horizontal="left"/>
    </xf>
    <xf numFmtId="0" fontId="8" fillId="5" borderId="1" xfId="0" applyFont="1" applyFill="1" applyBorder="1"/>
    <xf numFmtId="14" fontId="0" fillId="2" borderId="1" xfId="0" applyNumberFormat="1" applyFill="1" applyBorder="1"/>
    <xf numFmtId="14" fontId="0" fillId="2" borderId="1" xfId="0" applyNumberFormat="1" applyFill="1" applyBorder="1" applyAlignment="1">
      <alignment horizontal="right"/>
    </xf>
    <xf numFmtId="0" fontId="10" fillId="6" borderId="4" xfId="0" applyFont="1" applyFill="1" applyBorder="1" applyAlignment="1">
      <alignment horizontal="center" vertical="center"/>
    </xf>
    <xf numFmtId="14" fontId="10" fillId="6" borderId="4" xfId="0" applyNumberFormat="1" applyFont="1" applyFill="1" applyBorder="1" applyAlignment="1">
      <alignment horizontal="center" vertical="center"/>
    </xf>
    <xf numFmtId="0" fontId="1" fillId="7" borderId="4" xfId="0" applyFont="1" applyFill="1" applyBorder="1" applyAlignment="1">
      <alignment vertical="center"/>
    </xf>
    <xf numFmtId="0" fontId="1" fillId="8" borderId="4" xfId="0" applyFont="1" applyFill="1" applyBorder="1" applyAlignment="1">
      <alignment vertical="center"/>
    </xf>
    <xf numFmtId="0" fontId="0" fillId="9" borderId="4" xfId="0" applyFill="1" applyBorder="1" applyAlignment="1">
      <alignment vertical="center"/>
    </xf>
    <xf numFmtId="0" fontId="11" fillId="10" borderId="4" xfId="0" applyFont="1" applyFill="1" applyBorder="1" applyAlignment="1">
      <alignment horizontal="center" vertical="center"/>
    </xf>
    <xf numFmtId="0" fontId="12" fillId="11" borderId="4" xfId="0" applyFont="1" applyFill="1" applyBorder="1" applyAlignment="1">
      <alignment horizontal="center" vertical="center"/>
    </xf>
    <xf numFmtId="0" fontId="0" fillId="12" borderId="4" xfId="0" applyFill="1" applyBorder="1" applyAlignment="1">
      <alignment vertical="center"/>
    </xf>
    <xf numFmtId="0" fontId="0" fillId="13" borderId="3" xfId="0" applyFill="1" applyBorder="1" applyAlignment="1">
      <alignment horizontal="left"/>
    </xf>
    <xf numFmtId="0" fontId="0" fillId="13" borderId="3" xfId="0" applyFill="1" applyBorder="1" applyAlignment="1">
      <alignment horizontal="center"/>
    </xf>
    <xf numFmtId="14" fontId="0" fillId="13" borderId="3" xfId="0" applyNumberFormat="1" applyFill="1" applyBorder="1" applyAlignment="1">
      <alignment horizontal="center"/>
    </xf>
    <xf numFmtId="0" fontId="0" fillId="13" borderId="3" xfId="0" applyFill="1" applyBorder="1"/>
    <xf numFmtId="0" fontId="5" fillId="2" borderId="0" xfId="0" applyFont="1" applyFill="1"/>
    <xf numFmtId="0" fontId="5" fillId="13" borderId="0" xfId="0" applyFont="1" applyFill="1"/>
    <xf numFmtId="0" fontId="0" fillId="13" borderId="0" xfId="0" applyFill="1"/>
    <xf numFmtId="0" fontId="0" fillId="13" borderId="0" xfId="0" applyFill="1" applyAlignment="1">
      <alignment horizontal="center"/>
    </xf>
    <xf numFmtId="14" fontId="0" fillId="13" borderId="0" xfId="0" applyNumberFormat="1" applyFill="1" applyAlignment="1">
      <alignment horizontal="center"/>
    </xf>
    <xf numFmtId="0" fontId="0" fillId="13" borderId="0" xfId="0" applyFill="1" applyAlignment="1">
      <alignment horizontal="left"/>
    </xf>
    <xf numFmtId="0" fontId="0" fillId="13" borderId="0" xfId="0" applyFill="1" applyAlignment="1">
      <alignment horizontal="center" vertical="center"/>
    </xf>
    <xf numFmtId="9" fontId="0" fillId="13" borderId="0" xfId="0" applyNumberFormat="1" applyFill="1" applyAlignment="1">
      <alignment horizontal="center" vertical="center"/>
    </xf>
    <xf numFmtId="9" fontId="0" fillId="13" borderId="0" xfId="0" applyNumberFormat="1" applyFill="1" applyAlignment="1">
      <alignment horizontal="center"/>
    </xf>
    <xf numFmtId="0" fontId="0" fillId="13" borderId="2" xfId="0" applyFill="1" applyBorder="1" applyAlignment="1">
      <alignment horizontal="left"/>
    </xf>
    <xf numFmtId="0" fontId="0" fillId="14" borderId="4" xfId="0" applyFill="1" applyBorder="1" applyAlignment="1">
      <alignment vertical="center"/>
    </xf>
    <xf numFmtId="0" fontId="1" fillId="0" borderId="0" xfId="0" applyFont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6" fillId="0" borderId="0" xfId="0" applyFont="1"/>
    <xf numFmtId="0" fontId="0" fillId="0" borderId="4" xfId="0" applyBorder="1"/>
    <xf numFmtId="0" fontId="1" fillId="0" borderId="4" xfId="0" applyFont="1" applyBorder="1"/>
    <xf numFmtId="0" fontId="14" fillId="0" borderId="0" xfId="0" applyFont="1" applyAlignment="1">
      <alignment vertical="center"/>
    </xf>
  </cellXfs>
  <cellStyles count="1">
    <cellStyle name="Normal" xfId="0" builtinId="0"/>
  </cellStyles>
  <dxfs count="16"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 tint="0.34998626667073579"/>
      </font>
      <fill>
        <patternFill patternType="solid">
          <bgColor theme="0" tint="-0.249977111117893"/>
        </patternFill>
      </fill>
    </dxf>
    <dxf>
      <font>
        <color theme="3"/>
      </font>
      <fill>
        <patternFill patternType="solid">
          <bgColor theme="3" tint="0.749992370372631"/>
        </patternFill>
      </fill>
    </dxf>
    <dxf>
      <font>
        <color theme="5"/>
      </font>
    </dxf>
    <dxf>
      <fill>
        <patternFill patternType="solid">
          <fgColor indexed="64"/>
          <bgColor theme="0"/>
        </patternFill>
      </fill>
    </dxf>
    <dxf>
      <numFmt numFmtId="0" formatCode="General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</dxf>
    <dxf>
      <alignment horizontal="center"/>
    </dxf>
    <dxf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ill>
        <patternFill patternType="solid">
          <fgColor indexed="64"/>
          <bgColor theme="0"/>
        </patternFill>
      </fill>
    </dxf>
    <dxf>
      <alignment horizontal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0" indent="0" justifyLastLine="0" shrinkToFit="0" readingOrder="0"/>
    </dxf>
    <dxf>
      <font>
        <color theme="5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Medium9"/>
  <colors>
    <mruColors>
      <color rgb="FF999999"/>
      <color rgb="FFA5C7B1"/>
      <color rgb="FF5DADE2"/>
      <color rgb="FFBFCEDE"/>
      <color rgb="FF85C1E9"/>
      <color rgb="FFABEB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809625</xdr:colOff>
      <xdr:row>2</xdr:row>
      <xdr:rowOff>114300</xdr:rowOff>
    </xdr:from>
    <xdr:to>
      <xdr:col>1</xdr:col>
      <xdr:colOff>704850</xdr:colOff>
      <xdr:row>3</xdr:row>
      <xdr:rowOff>133350</xdr:rowOff>
    </xdr:to>
    <xdr:sp macro="" textlink="">
      <xdr:nvSpPr>
        <xdr:cNvPr id="3" name="Rounded Rectangle 2">
          <a:extLst>
            <a:ext uri="{FF2B5EF4-FFF2-40B4-BE49-F238E27FC236}">
              <a16:creationId xmlns:a16="http://schemas.microsoft.com/office/drawing/2014/main" id="{262A9B23-C45A-46FE-980B-C5B63A3DCE15}"/>
            </a:ext>
            <a:ext uri="{147F2762-F138-4A5C-976F-8EAC2B608ADB}">
              <a16:predDERef xmlns:a16="http://schemas.microsoft.com/office/drawing/2014/main" pred="{88A79364-B477-4462-9278-AC81194AE4F3}"/>
            </a:ext>
            <a:ext uri="{6ECC49D1-AA05-4338-93AA-15A1B29DFB0A}">
              <asl:scriptLink xmlns:asl="http://schemas.microsoft.com/office/drawing/2021/scriptlink" val="{&quot;shareId&quot;:&quot;ms-officescript%3A%2F%2Fonedrive_business_sharinglink%2Fu!aHR0cHM6Ly9hZm9ubGluZS1teS5zaGFyZXBvaW50LmNvbS86dTovZy9wZXJzb25hbC9lbGl6YV93b2xsaW5nZXJfYWZyeV9jb20vSVFEcGlkOG5aZWJtVHJuVmJoNHlCaGowQVJXc0RoRnZrTDE2NkFPNDlDWW9VcHM&quot;}"/>
            </a:ext>
          </a:extLst>
        </xdr:cNvPr>
        <xdr:cNvSpPr/>
      </xdr:nvSpPr>
      <xdr:spPr>
        <a:xfrm>
          <a:off x="809625" y="476250"/>
          <a:ext cx="733425" cy="200025"/>
        </a:xfrm>
        <a:prstGeom prst="roundRect">
          <a:avLst/>
        </a:prstGeom>
        <a:solidFill>
          <a:schemeClr val="tx2">
            <a:lumMod val="10000"/>
            <a:lumOff val="90000"/>
          </a:schemeClr>
        </a:solidFill>
        <a:ln>
          <a:solidFill>
            <a:schemeClr val="tx2">
              <a:lumMod val="25000"/>
              <a:lumOff val="75000"/>
            </a:schemeClr>
          </a:solidFill>
        </a:ln>
      </xdr:spPr>
      <xdr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ctr">
          <a:noAutofit/>
        </a:bodyPr>
        <a:lstStyle/>
        <a:p>
          <a:pPr marL="0" indent="0" algn="ctr"/>
          <a:r>
            <a:rPr lang="en-US" sz="1100" b="1" i="0" u="none" strike="noStrike">
              <a:solidFill>
                <a:schemeClr val="accent1"/>
              </a:solidFill>
              <a:latin typeface="Aptos Narrow" panose="020B0004020202020204" pitchFamily="34" charset="0"/>
            </a:rPr>
            <a:t>Update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87D732-BD3B-4616-AC64-98A2DAFDF94B}" name="Table32" displayName="Table32" ref="B2:L15" totalsRowShown="0" headerRowDxfId="15" tableBorderDxfId="14">
  <autoFilter ref="B2:L15" xr:uid="{9FD5CA46-D4C9-4FAE-9A6E-58EF8729EDEF}"/>
  <tableColumns count="11">
    <tableColumn id="1" xr3:uid="{2126396A-945F-4A01-8B11-1F65DB9F972B}" name="AT RISK" dataDxfId="13">
      <calculatedColumnFormula>IF($F3&lt;&gt;"", "✓", "")</calculatedColumnFormula>
    </tableColumn>
    <tableColumn id="2" xr3:uid="{A68F35A0-D418-4DF2-9DDD-E1D2B983846B}" name="PROJECT" dataDxfId="12"/>
    <tableColumn id="11" xr3:uid="{3AEAD56C-1C19-4BAF-BB4E-C99F05295594}" name="OWNER" dataDxfId="11"/>
    <tableColumn id="3" xr3:uid="{55C60745-B9CD-4DD6-9509-233B1058213A}" name="TASK" dataDxfId="10"/>
    <tableColumn id="4" xr3:uid="{71CF6164-FC72-4E6D-804A-45C374BAC4D6}" name="STORY POINTS" dataDxfId="9"/>
    <tableColumn id="5" xr3:uid="{8C8759EC-7A68-4658-A8A5-7F80B6969072}" name="START"/>
    <tableColumn id="6" xr3:uid="{EA440C1C-D15A-4F61-AB48-24FEE892CDE5}" name="FINISH"/>
    <tableColumn id="7" xr3:uid="{A4F54A94-9C01-48CA-ACF2-8354836715D2}" name="PERCENT" dataDxfId="8"/>
    <tableColumn id="8" xr3:uid="{07808F47-AE84-42B6-AD86-C5A30B0FAA5F}" name="DURATION_x000a_in days" dataDxfId="7">
      <calculatedColumnFormula>IF(AND(ISNUMBER($G3), ISNUMBER($H3)), NETWORKDAYS($G3, $H3), IF(ISNUMBER($G3), NETWORKDAYS($G3, TODAY()), ""))</calculatedColumnFormula>
    </tableColumn>
    <tableColumn id="9" xr3:uid="{7451544E-093B-4CA8-AD38-40F020E24442}" name="STATUS" dataDxfId="6">
      <calculatedColumnFormula>IF(ISBLANK($G3), "Not started",
    IF(ISBLANK($H3), "In progress",
        IF(AND(NOT(ISBLANK($G3)), NOT(ISBLANK($H3)), $I3&lt;1), "On hold", "Completed")
    )
)</calculatedColumnFormula>
    </tableColumn>
    <tableColumn id="10" xr3:uid="{F55EACE1-5366-40DE-BB5A-C9778EF2A746}" name="COMMENTS" dataDxfId="5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84B6B-FD8A-4200-91C9-EEA8BFE5FC78}">
  <sheetPr>
    <tabColor rgb="FFA5C7B1"/>
  </sheetPr>
  <dimension ref="B2:N34"/>
  <sheetViews>
    <sheetView showGridLines="0" workbookViewId="0">
      <selection activeCell="C30" sqref="C30"/>
    </sheetView>
  </sheetViews>
  <sheetFormatPr defaultRowHeight="15"/>
  <cols>
    <col min="1" max="1" width="2.85546875" customWidth="1"/>
    <col min="2" max="2" width="10.140625" customWidth="1"/>
    <col min="3" max="3" width="22" bestFit="1" customWidth="1"/>
    <col min="4" max="4" width="11.42578125" customWidth="1"/>
    <col min="5" max="5" width="23.28515625" bestFit="1" customWidth="1"/>
    <col min="6" max="6" width="30.140625" bestFit="1" customWidth="1"/>
    <col min="7" max="8" width="11.140625" bestFit="1" customWidth="1"/>
    <col min="9" max="9" width="11.7109375" customWidth="1"/>
    <col min="10" max="10" width="11.140625" customWidth="1"/>
    <col min="11" max="11" width="11.7109375" customWidth="1"/>
    <col min="12" max="12" width="35" bestFit="1" customWidth="1"/>
    <col min="13" max="13" width="6.5703125" customWidth="1"/>
    <col min="17" max="17" width="9.5703125" customWidth="1"/>
  </cols>
  <sheetData>
    <row r="2" spans="2:14" ht="30">
      <c r="B2" s="6" t="s">
        <v>0</v>
      </c>
      <c r="C2" s="7" t="s">
        <v>1</v>
      </c>
      <c r="D2" s="7" t="s">
        <v>2</v>
      </c>
      <c r="E2" s="7" t="s">
        <v>3</v>
      </c>
      <c r="F2" s="7" t="s">
        <v>4</v>
      </c>
      <c r="G2" s="7" t="s">
        <v>5</v>
      </c>
      <c r="H2" s="7" t="s">
        <v>6</v>
      </c>
      <c r="I2" s="7" t="s">
        <v>7</v>
      </c>
      <c r="J2" s="8" t="s">
        <v>8</v>
      </c>
      <c r="K2" s="7" t="s">
        <v>9</v>
      </c>
      <c r="L2" s="7" t="s">
        <v>10</v>
      </c>
    </row>
    <row r="3" spans="2:14">
      <c r="B3" s="30" t="str">
        <f>IF($F3&lt;&gt;"", "✓", "")</f>
        <v/>
      </c>
      <c r="C3" s="32" t="s">
        <v>11</v>
      </c>
      <c r="D3" s="32" t="s">
        <v>12</v>
      </c>
      <c r="E3" s="29" t="s">
        <v>13</v>
      </c>
      <c r="F3" s="32"/>
      <c r="G3" s="31">
        <v>46056</v>
      </c>
      <c r="H3" s="31">
        <v>46058</v>
      </c>
      <c r="I3" s="41">
        <v>1</v>
      </c>
      <c r="J3" s="30">
        <f t="shared" ref="J3:J5" ca="1" si="0">IF(AND(ISNUMBER($G3), ISNUMBER($H3)), NETWORKDAYS($G3, $H3), IF(ISNUMBER($G3), NETWORKDAYS($G3, TODAY()), ""))</f>
        <v>3</v>
      </c>
      <c r="K3" s="14" t="str">
        <f t="shared" ref="K3:K7" si="1">IF(ISBLANK($G3), "Not started",
    IF(ISBLANK($H3), "In progress",
        IF(AND(NOT(ISBLANK($G3)), NOT(ISBLANK($H3)), $I3&lt;1), "On hold", "Completed")
    )
)</f>
        <v>Completed</v>
      </c>
      <c r="L3" s="29"/>
    </row>
    <row r="4" spans="2:14">
      <c r="B4" s="30" t="str">
        <f t="shared" ref="B4:B9" si="2">IF($F4&lt;&gt;"", "✓", "")</f>
        <v/>
      </c>
      <c r="C4" s="32" t="s">
        <v>11</v>
      </c>
      <c r="D4" s="32" t="s">
        <v>12</v>
      </c>
      <c r="E4" s="29" t="s">
        <v>14</v>
      </c>
      <c r="F4" s="32"/>
      <c r="G4" s="31">
        <v>46059</v>
      </c>
      <c r="H4" s="31">
        <v>46064</v>
      </c>
      <c r="I4" s="41">
        <v>1</v>
      </c>
      <c r="J4" s="30">
        <f t="shared" ca="1" si="0"/>
        <v>4</v>
      </c>
      <c r="K4" s="14" t="str">
        <f t="shared" si="1"/>
        <v>Completed</v>
      </c>
      <c r="L4" s="29"/>
    </row>
    <row r="5" spans="2:14">
      <c r="B5" s="15" t="str">
        <f t="shared" si="2"/>
        <v/>
      </c>
      <c r="C5" s="33" t="s">
        <v>11</v>
      </c>
      <c r="D5" s="33" t="s">
        <v>15</v>
      </c>
      <c r="E5" s="2" t="s">
        <v>16</v>
      </c>
      <c r="F5" s="2"/>
      <c r="G5" s="12">
        <v>46065</v>
      </c>
      <c r="H5" s="12">
        <v>46073</v>
      </c>
      <c r="I5" s="9">
        <v>1</v>
      </c>
      <c r="J5" s="11">
        <f t="shared" ca="1" si="0"/>
        <v>7</v>
      </c>
      <c r="K5" s="10" t="str">
        <f t="shared" si="1"/>
        <v>Completed</v>
      </c>
      <c r="L5" s="13"/>
      <c r="N5" s="4"/>
    </row>
    <row r="6" spans="2:14">
      <c r="B6" s="15" t="str">
        <f t="shared" si="2"/>
        <v/>
      </c>
      <c r="C6" s="33" t="s">
        <v>11</v>
      </c>
      <c r="D6" s="33" t="s">
        <v>15</v>
      </c>
      <c r="E6" s="2" t="s">
        <v>17</v>
      </c>
      <c r="F6" s="2"/>
      <c r="G6" s="12">
        <v>46076</v>
      </c>
      <c r="H6" s="12">
        <v>46085</v>
      </c>
      <c r="I6" s="9">
        <v>0.75</v>
      </c>
      <c r="J6" s="11">
        <f ca="1">IF(AND(ISNUMBER($G6), ISNUMBER($H6)), NETWORKDAYS($G6, $H6), IF(ISNUMBER($G6), NETWORKDAYS($G6, TODAY()), ""))</f>
        <v>8</v>
      </c>
      <c r="K6" s="10" t="str">
        <f t="shared" si="1"/>
        <v>On hold</v>
      </c>
      <c r="L6" s="13" t="s">
        <v>18</v>
      </c>
      <c r="N6" s="3"/>
    </row>
    <row r="7" spans="2:14">
      <c r="B7" s="30" t="str">
        <f t="shared" si="2"/>
        <v>✓</v>
      </c>
      <c r="C7" s="32" t="s">
        <v>11</v>
      </c>
      <c r="D7" s="32" t="s">
        <v>19</v>
      </c>
      <c r="E7" s="29" t="s">
        <v>20</v>
      </c>
      <c r="F7" s="32" t="s">
        <v>21</v>
      </c>
      <c r="G7" s="31">
        <v>46086</v>
      </c>
      <c r="H7" s="31">
        <v>46092</v>
      </c>
      <c r="I7" s="40">
        <v>0.3</v>
      </c>
      <c r="J7" s="36">
        <f t="shared" ref="J7" ca="1" si="3">IF(AND(ISNUMBER($G7), ISNUMBER($H7)), NETWORKDAYS($G7, $H7), IF(ISNUMBER($G7), NETWORKDAYS($G7, TODAY()), ""))</f>
        <v>5</v>
      </c>
      <c r="K7" s="14" t="str">
        <f t="shared" si="1"/>
        <v>On hold</v>
      </c>
      <c r="L7" s="38" t="s">
        <v>22</v>
      </c>
    </row>
    <row r="8" spans="2:14">
      <c r="B8" s="15" t="str">
        <f t="shared" si="2"/>
        <v/>
      </c>
      <c r="C8" s="33" t="s">
        <v>23</v>
      </c>
      <c r="D8" s="33" t="s">
        <v>24</v>
      </c>
      <c r="E8" s="2" t="s">
        <v>13</v>
      </c>
      <c r="F8" s="2"/>
      <c r="G8" s="12">
        <v>46063</v>
      </c>
      <c r="H8" s="12">
        <v>46064</v>
      </c>
      <c r="I8" s="9">
        <v>1</v>
      </c>
      <c r="J8" s="11">
        <f t="shared" ref="J8" ca="1" si="4">IF(AND(ISNUMBER($G8), ISNUMBER($H8)), NETWORKDAYS($G8, $H8), IF(ISNUMBER($G8), NETWORKDAYS($G8, TODAY()), ""))</f>
        <v>2</v>
      </c>
      <c r="K8" s="10" t="str">
        <f t="shared" ref="K8:K15" si="5">IF(ISBLANK($G8), "Not started",
    IF(ISBLANK($H8), "In progress",
        IF(AND(NOT(ISBLANK($G8)), NOT(ISBLANK($H8)), $I8&lt;1), "On hold", "Completed")
    )
)</f>
        <v>Completed</v>
      </c>
      <c r="L8" s="2"/>
    </row>
    <row r="9" spans="2:14">
      <c r="B9" s="15" t="str">
        <f t="shared" si="2"/>
        <v/>
      </c>
      <c r="C9" s="33" t="s">
        <v>23</v>
      </c>
      <c r="D9" s="33" t="s">
        <v>24</v>
      </c>
      <c r="E9" s="2" t="s">
        <v>25</v>
      </c>
      <c r="F9" s="2"/>
      <c r="G9" s="12">
        <v>46065</v>
      </c>
      <c r="H9" s="12">
        <v>46070</v>
      </c>
      <c r="I9" s="9">
        <v>1</v>
      </c>
      <c r="J9" s="11">
        <f ca="1">IF(AND(ISNUMBER($G9), ISNUMBER($H9)), NETWORKDAYS($G9, $H9), IF(ISNUMBER($G9), NETWORKDAYS($G9, TODAY()), ""))</f>
        <v>4</v>
      </c>
      <c r="K9" s="10" t="str">
        <f t="shared" si="5"/>
        <v>Completed</v>
      </c>
      <c r="L9" s="2"/>
    </row>
    <row r="10" spans="2:14">
      <c r="B10" s="39" t="str">
        <f t="shared" ref="B10:B15" si="6">IF($F10&lt;&gt;"", "✓", "")</f>
        <v/>
      </c>
      <c r="C10" s="34" t="s">
        <v>23</v>
      </c>
      <c r="D10" s="34" t="s">
        <v>26</v>
      </c>
      <c r="E10" s="35" t="s">
        <v>27</v>
      </c>
      <c r="F10" s="35"/>
      <c r="G10" s="37">
        <v>46071</v>
      </c>
      <c r="H10" s="37">
        <v>46080</v>
      </c>
      <c r="I10" s="41">
        <v>0.9</v>
      </c>
      <c r="J10" s="36">
        <f t="shared" ref="J10:J15" ca="1" si="7">IF(AND(ISNUMBER($G10), ISNUMBER($H10)), NETWORKDAYS($G10, $H10), IF(ISNUMBER($G10), NETWORKDAYS($G10, TODAY()), ""))</f>
        <v>8</v>
      </c>
      <c r="K10" s="14" t="str">
        <f t="shared" si="5"/>
        <v>On hold</v>
      </c>
      <c r="L10" s="42" t="s">
        <v>28</v>
      </c>
    </row>
    <row r="11" spans="2:14">
      <c r="B11" s="39" t="str">
        <f t="shared" si="6"/>
        <v>✓</v>
      </c>
      <c r="C11" s="34" t="s">
        <v>23</v>
      </c>
      <c r="D11" s="34" t="s">
        <v>26</v>
      </c>
      <c r="E11" s="35" t="s">
        <v>29</v>
      </c>
      <c r="F11" s="35" t="s">
        <v>30</v>
      </c>
      <c r="G11" s="37">
        <v>46083</v>
      </c>
      <c r="H11" s="37">
        <v>46087</v>
      </c>
      <c r="I11" s="41">
        <v>0.4</v>
      </c>
      <c r="J11" s="36">
        <f t="shared" ca="1" si="7"/>
        <v>5</v>
      </c>
      <c r="K11" s="14" t="str">
        <f t="shared" si="5"/>
        <v>On hold</v>
      </c>
      <c r="L11" s="42" t="s">
        <v>31</v>
      </c>
    </row>
    <row r="12" spans="2:14">
      <c r="B12" s="15" t="str">
        <f t="shared" si="6"/>
        <v/>
      </c>
      <c r="C12" s="33" t="s">
        <v>32</v>
      </c>
      <c r="D12" s="33" t="s">
        <v>33</v>
      </c>
      <c r="E12" s="2" t="s">
        <v>34</v>
      </c>
      <c r="F12" s="2"/>
      <c r="G12" s="12">
        <v>46069</v>
      </c>
      <c r="H12" s="12">
        <v>46071</v>
      </c>
      <c r="I12" s="9">
        <v>1</v>
      </c>
      <c r="J12" s="11">
        <f t="shared" ca="1" si="7"/>
        <v>3</v>
      </c>
      <c r="K12" s="10" t="str">
        <f t="shared" si="5"/>
        <v>Completed</v>
      </c>
      <c r="L12" s="2"/>
    </row>
    <row r="13" spans="2:14">
      <c r="B13" s="15" t="str">
        <f t="shared" si="6"/>
        <v/>
      </c>
      <c r="C13" s="33" t="s">
        <v>32</v>
      </c>
      <c r="D13" s="33" t="s">
        <v>33</v>
      </c>
      <c r="E13" s="2" t="s">
        <v>35</v>
      </c>
      <c r="F13" s="2"/>
      <c r="G13" s="12">
        <v>46072</v>
      </c>
      <c r="H13" s="12">
        <v>46078</v>
      </c>
      <c r="I13" s="9">
        <v>1</v>
      </c>
      <c r="J13" s="11">
        <f t="shared" ca="1" si="7"/>
        <v>5</v>
      </c>
      <c r="K13" s="10" t="str">
        <f t="shared" si="5"/>
        <v>Completed</v>
      </c>
      <c r="L13" s="2"/>
    </row>
    <row r="14" spans="2:14">
      <c r="B14" s="39" t="str">
        <f t="shared" si="6"/>
        <v/>
      </c>
      <c r="C14" s="34" t="s">
        <v>32</v>
      </c>
      <c r="D14" s="34" t="s">
        <v>36</v>
      </c>
      <c r="E14" s="35" t="s">
        <v>37</v>
      </c>
      <c r="F14" s="35"/>
      <c r="G14" s="37">
        <v>46079</v>
      </c>
      <c r="H14" s="37">
        <v>46085</v>
      </c>
      <c r="I14" s="41">
        <v>0.8</v>
      </c>
      <c r="J14" s="36">
        <f t="shared" ca="1" si="7"/>
        <v>5</v>
      </c>
      <c r="K14" s="14" t="str">
        <f t="shared" si="5"/>
        <v>On hold</v>
      </c>
      <c r="L14" s="42" t="s">
        <v>38</v>
      </c>
    </row>
    <row r="15" spans="2:14">
      <c r="B15" s="39" t="str">
        <f t="shared" si="6"/>
        <v/>
      </c>
      <c r="C15" s="34" t="s">
        <v>32</v>
      </c>
      <c r="D15" s="34" t="s">
        <v>36</v>
      </c>
      <c r="E15" s="35" t="s">
        <v>39</v>
      </c>
      <c r="F15" s="35"/>
      <c r="G15" s="37">
        <v>46086</v>
      </c>
      <c r="H15" s="37">
        <v>46097</v>
      </c>
      <c r="I15" s="41">
        <v>0.2</v>
      </c>
      <c r="J15" s="36">
        <f t="shared" ca="1" si="7"/>
        <v>8</v>
      </c>
      <c r="K15" s="14" t="str">
        <f t="shared" si="5"/>
        <v>On hold</v>
      </c>
      <c r="L15" s="42" t="s">
        <v>40</v>
      </c>
    </row>
    <row r="33" spans="2:12" s="5" customFormat="1">
      <c r="B33"/>
      <c r="C33"/>
      <c r="D33"/>
      <c r="E33"/>
      <c r="F33"/>
      <c r="G33"/>
      <c r="H33"/>
      <c r="I33"/>
      <c r="J33"/>
      <c r="K33"/>
      <c r="L33"/>
    </row>
    <row r="34" spans="2:12" s="5" customFormat="1">
      <c r="B34"/>
      <c r="C34"/>
      <c r="D34"/>
      <c r="E34"/>
      <c r="F34"/>
      <c r="G34"/>
      <c r="H34"/>
      <c r="I34"/>
      <c r="J34"/>
      <c r="K34"/>
      <c r="L34"/>
    </row>
  </sheetData>
  <conditionalFormatting sqref="B10:B11 B14:B15">
    <cfRule type="expression" dxfId="4" priority="24">
      <formula>$B10 = "✓"</formula>
    </cfRule>
  </conditionalFormatting>
  <conditionalFormatting sqref="I10:I11 I14:I15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{A8D888B3-7957-4894-83B9-25544B485B68}</x14:id>
        </ext>
      </extLst>
    </cfRule>
  </conditionalFormatting>
  <conditionalFormatting sqref="I12:I1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{A72B62A9-0AFC-4F9B-B994-24B47903AECC}</x14:id>
        </ext>
      </extLst>
    </cfRule>
  </conditionalFormatting>
  <conditionalFormatting sqref="I16:I1048576 I1:I9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{EEEDF6F8-7A45-454C-91E8-008BC61A7D07}</x14:id>
        </ext>
      </extLst>
    </cfRule>
  </conditionalFormatting>
  <conditionalFormatting sqref="K1:K1048576">
    <cfRule type="expression" dxfId="3" priority="2">
      <formula>$K1="In progress"</formula>
    </cfRule>
    <cfRule type="expression" dxfId="2" priority="3">
      <formula>$K1="Not started"</formula>
    </cfRule>
    <cfRule type="expression" dxfId="1" priority="4">
      <formula>$K1="Completed"</formula>
    </cfRule>
    <cfRule type="expression" dxfId="0" priority="5">
      <formula>$K1="On hold"</formula>
    </cfRule>
  </conditionalFormatting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8D888B3-7957-4894-83B9-25544B485B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I10:I11 I14:I15</xm:sqref>
        </x14:conditionalFormatting>
        <x14:conditionalFormatting xmlns:xm="http://schemas.microsoft.com/office/excel/2006/main">
          <x14:cfRule type="dataBar" id="{A72B62A9-0AFC-4F9B-B994-24B47903AEC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I12:I13</xm:sqref>
        </x14:conditionalFormatting>
        <x14:conditionalFormatting xmlns:xm="http://schemas.microsoft.com/office/excel/2006/main">
          <x14:cfRule type="dataBar" id="{EEEDF6F8-7A45-454C-91E8-008BC61A7D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I16:I1048576 I1:I9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FD6E6-7048-4C1A-85A2-4BB1B9D46DEC}">
  <sheetPr>
    <tabColor rgb="FF999999"/>
  </sheetPr>
  <dimension ref="A1:BN14"/>
  <sheetViews>
    <sheetView tabSelected="1" workbookViewId="0">
      <selection activeCell="B5" sqref="B5"/>
    </sheetView>
  </sheetViews>
  <sheetFormatPr defaultRowHeight="14.25" customHeight="1"/>
  <cols>
    <col min="1" max="1" width="5.5703125" style="2" bestFit="1" customWidth="1"/>
    <col min="2" max="2" width="10.7109375" style="2" customWidth="1"/>
    <col min="3" max="3" width="6.5703125" style="2" customWidth="1"/>
    <col min="4" max="4" width="22" style="2" bestFit="1" customWidth="1"/>
    <col min="5" max="5" width="23.28515625" style="2" bestFit="1" customWidth="1"/>
    <col min="6" max="6" width="10.7109375" style="2" bestFit="1" customWidth="1"/>
    <col min="7" max="66" width="10.42578125" style="2" bestFit="1" customWidth="1"/>
    <col min="67" max="16384" width="9.140625" style="2"/>
  </cols>
  <sheetData>
    <row r="1" spans="1:66" s="16" customFormat="1" ht="14.25" customHeight="1">
      <c r="A1" s="18" t="s">
        <v>41</v>
      </c>
      <c r="B1" s="20">
        <v>46054</v>
      </c>
      <c r="C1" s="17"/>
      <c r="D1" s="21" t="s">
        <v>1</v>
      </c>
      <c r="E1" s="21" t="s">
        <v>3</v>
      </c>
      <c r="F1" s="21" t="s">
        <v>9</v>
      </c>
      <c r="G1" s="21" t="s">
        <v>42</v>
      </c>
      <c r="H1" s="22">
        <v>46024</v>
      </c>
      <c r="I1" s="22">
        <v>46055</v>
      </c>
      <c r="J1" s="22">
        <v>46083</v>
      </c>
      <c r="K1" s="22">
        <v>46114</v>
      </c>
      <c r="L1" s="22">
        <v>46144</v>
      </c>
      <c r="M1" s="22">
        <v>46175</v>
      </c>
      <c r="N1" s="22">
        <v>46205</v>
      </c>
      <c r="O1" s="22">
        <v>46236</v>
      </c>
      <c r="P1" s="22">
        <v>46267</v>
      </c>
      <c r="Q1" s="22">
        <v>46297</v>
      </c>
      <c r="R1" s="22">
        <v>46328</v>
      </c>
      <c r="S1" s="22">
        <v>46358</v>
      </c>
      <c r="T1" s="21" t="s">
        <v>43</v>
      </c>
      <c r="U1" s="21" t="s">
        <v>44</v>
      </c>
      <c r="V1" s="21" t="s">
        <v>45</v>
      </c>
      <c r="W1" s="21" t="s">
        <v>46</v>
      </c>
      <c r="X1" s="21" t="s">
        <v>47</v>
      </c>
      <c r="Y1" s="21" t="s">
        <v>48</v>
      </c>
      <c r="Z1" s="21" t="s">
        <v>49</v>
      </c>
      <c r="AA1" s="21" t="s">
        <v>50</v>
      </c>
      <c r="AB1" s="21" t="s">
        <v>51</v>
      </c>
      <c r="AC1" s="21" t="s">
        <v>52</v>
      </c>
      <c r="AD1" s="21" t="s">
        <v>53</v>
      </c>
      <c r="AE1" s="21" t="s">
        <v>54</v>
      </c>
      <c r="AF1" s="21" t="s">
        <v>55</v>
      </c>
      <c r="AG1" s="21" t="s">
        <v>56</v>
      </c>
      <c r="AH1" s="21" t="s">
        <v>57</v>
      </c>
      <c r="AI1" s="21" t="s">
        <v>58</v>
      </c>
      <c r="AJ1" s="22">
        <v>46025</v>
      </c>
      <c r="AK1" s="22">
        <v>46056</v>
      </c>
      <c r="AL1" s="22">
        <v>46084</v>
      </c>
      <c r="AM1" s="22">
        <v>46115</v>
      </c>
      <c r="AN1" s="22">
        <v>46145</v>
      </c>
      <c r="AO1" s="22">
        <v>46176</v>
      </c>
      <c r="AP1" s="22">
        <v>46206</v>
      </c>
      <c r="AQ1" s="22">
        <v>46237</v>
      </c>
      <c r="AR1" s="22">
        <v>46268</v>
      </c>
      <c r="AS1" s="22">
        <v>46298</v>
      </c>
      <c r="AT1" s="22">
        <v>46329</v>
      </c>
      <c r="AU1" s="22">
        <v>46359</v>
      </c>
      <c r="AV1" s="21" t="s">
        <v>59</v>
      </c>
      <c r="AW1" s="21" t="s">
        <v>60</v>
      </c>
      <c r="AX1" s="21" t="s">
        <v>61</v>
      </c>
      <c r="AY1" s="21" t="s">
        <v>62</v>
      </c>
      <c r="AZ1" s="21" t="s">
        <v>63</v>
      </c>
      <c r="BA1" s="21" t="s">
        <v>64</v>
      </c>
      <c r="BB1" s="21" t="s">
        <v>65</v>
      </c>
      <c r="BC1" s="21" t="s">
        <v>66</v>
      </c>
      <c r="BD1" s="21" t="s">
        <v>67</v>
      </c>
      <c r="BE1" s="21" t="s">
        <v>68</v>
      </c>
      <c r="BF1" s="21" t="s">
        <v>69</v>
      </c>
      <c r="BG1" s="21" t="s">
        <v>70</v>
      </c>
      <c r="BH1" s="21" t="s">
        <v>71</v>
      </c>
      <c r="BI1" s="21" t="s">
        <v>72</v>
      </c>
      <c r="BJ1" s="21" t="s">
        <v>73</v>
      </c>
      <c r="BK1" s="21" t="s">
        <v>74</v>
      </c>
      <c r="BL1" s="21" t="s">
        <v>75</v>
      </c>
      <c r="BM1" s="21" t="s">
        <v>76</v>
      </c>
      <c r="BN1" s="21" t="s">
        <v>77</v>
      </c>
    </row>
    <row r="2" spans="1:66" s="16" customFormat="1" ht="14.25" customHeight="1">
      <c r="A2" s="18" t="s">
        <v>78</v>
      </c>
      <c r="B2" s="19">
        <v>46113</v>
      </c>
      <c r="D2" s="28" t="s">
        <v>11</v>
      </c>
      <c r="E2" s="28" t="s">
        <v>13</v>
      </c>
      <c r="F2" s="23" t="s">
        <v>79</v>
      </c>
      <c r="G2" s="28"/>
      <c r="H2" s="28"/>
      <c r="I2" s="27" t="s">
        <v>80</v>
      </c>
      <c r="J2" s="27" t="s">
        <v>80</v>
      </c>
      <c r="K2" s="27" t="s">
        <v>80</v>
      </c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</row>
    <row r="3" spans="1:66" s="16" customFormat="1" ht="14.25" customHeight="1">
      <c r="D3" s="28" t="s">
        <v>11</v>
      </c>
      <c r="E3" s="28" t="s">
        <v>14</v>
      </c>
      <c r="F3" s="23" t="s">
        <v>79</v>
      </c>
      <c r="G3" s="28"/>
      <c r="H3" s="28"/>
      <c r="I3" s="28"/>
      <c r="J3" s="28"/>
      <c r="K3" s="28"/>
      <c r="L3" s="27" t="s">
        <v>80</v>
      </c>
      <c r="M3" s="27" t="s">
        <v>80</v>
      </c>
      <c r="N3" s="27" t="s">
        <v>80</v>
      </c>
      <c r="O3" s="27" t="s">
        <v>80</v>
      </c>
      <c r="P3" s="27" t="s">
        <v>80</v>
      </c>
      <c r="Q3" s="27" t="s">
        <v>80</v>
      </c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</row>
    <row r="4" spans="1:66" s="16" customFormat="1" ht="14.25" customHeight="1">
      <c r="D4" s="28" t="s">
        <v>11</v>
      </c>
      <c r="E4" s="28" t="s">
        <v>16</v>
      </c>
      <c r="F4" s="23" t="s">
        <v>79</v>
      </c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7" t="s">
        <v>80</v>
      </c>
      <c r="S4" s="27" t="s">
        <v>80</v>
      </c>
      <c r="T4" s="27" t="s">
        <v>80</v>
      </c>
      <c r="U4" s="27" t="s">
        <v>80</v>
      </c>
      <c r="V4" s="27" t="s">
        <v>80</v>
      </c>
      <c r="W4" s="27" t="s">
        <v>80</v>
      </c>
      <c r="X4" s="27" t="s">
        <v>80</v>
      </c>
      <c r="Y4" s="27" t="s">
        <v>80</v>
      </c>
      <c r="Z4" s="27" t="s">
        <v>80</v>
      </c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</row>
    <row r="5" spans="1:66" s="16" customFormat="1" ht="14.25" customHeight="1">
      <c r="D5" s="28" t="s">
        <v>11</v>
      </c>
      <c r="E5" s="28" t="s">
        <v>17</v>
      </c>
      <c r="F5" s="24" t="s">
        <v>81</v>
      </c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6" t="s">
        <v>80</v>
      </c>
      <c r="AD5" s="26" t="s">
        <v>80</v>
      </c>
      <c r="AE5" s="26" t="s">
        <v>80</v>
      </c>
      <c r="AF5" s="26" t="s">
        <v>80</v>
      </c>
      <c r="AG5" s="26" t="s">
        <v>80</v>
      </c>
      <c r="AH5" s="26" t="s">
        <v>80</v>
      </c>
      <c r="AI5" s="26" t="s">
        <v>80</v>
      </c>
      <c r="AJ5" s="26" t="s">
        <v>80</v>
      </c>
      <c r="AK5" s="26" t="s">
        <v>80</v>
      </c>
      <c r="AL5" s="26" t="s">
        <v>80</v>
      </c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</row>
    <row r="6" spans="1:66" s="16" customFormat="1" ht="14.25" customHeight="1">
      <c r="D6" s="28" t="s">
        <v>11</v>
      </c>
      <c r="E6" s="28" t="s">
        <v>20</v>
      </c>
      <c r="F6" s="24" t="s">
        <v>81</v>
      </c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6" t="s">
        <v>80</v>
      </c>
      <c r="AN6" s="26" t="s">
        <v>80</v>
      </c>
      <c r="AO6" s="26" t="s">
        <v>80</v>
      </c>
      <c r="AP6" s="26" t="s">
        <v>80</v>
      </c>
      <c r="AQ6" s="26" t="s">
        <v>80</v>
      </c>
      <c r="AR6" s="26" t="s">
        <v>80</v>
      </c>
      <c r="AS6" s="26" t="s">
        <v>80</v>
      </c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</row>
    <row r="7" spans="1:66" ht="14.25" customHeight="1">
      <c r="D7" s="25" t="s">
        <v>23</v>
      </c>
      <c r="E7" s="25" t="s">
        <v>13</v>
      </c>
      <c r="F7" s="23" t="s">
        <v>79</v>
      </c>
      <c r="G7" s="25"/>
      <c r="H7" s="25"/>
      <c r="I7" s="25"/>
      <c r="J7" s="25"/>
      <c r="K7" s="25"/>
      <c r="L7" s="25"/>
      <c r="M7" s="25"/>
      <c r="N7" s="25"/>
      <c r="O7" s="25"/>
      <c r="P7" s="27" t="s">
        <v>80</v>
      </c>
      <c r="Q7" s="27" t="s">
        <v>80</v>
      </c>
      <c r="R7" s="25"/>
      <c r="S7" s="25"/>
      <c r="T7" s="25"/>
      <c r="U7" s="25"/>
      <c r="V7" s="25"/>
      <c r="W7" s="25"/>
      <c r="X7" s="25"/>
      <c r="Y7" s="25"/>
      <c r="Z7" s="25"/>
      <c r="AA7" s="25"/>
      <c r="AB7" s="25"/>
      <c r="AC7" s="25"/>
      <c r="AD7" s="25"/>
      <c r="AE7" s="25"/>
      <c r="AF7" s="25"/>
      <c r="AG7" s="25"/>
      <c r="AH7" s="25"/>
      <c r="AI7" s="25"/>
      <c r="AJ7" s="25"/>
      <c r="AK7" s="25"/>
      <c r="AL7" s="25"/>
      <c r="AM7" s="25"/>
      <c r="AN7" s="25"/>
      <c r="AO7" s="25"/>
      <c r="AP7" s="25"/>
      <c r="AQ7" s="25"/>
      <c r="AR7" s="25"/>
      <c r="AS7" s="25"/>
      <c r="AT7" s="25"/>
      <c r="AU7" s="25"/>
      <c r="AV7" s="25"/>
      <c r="AW7" s="25"/>
      <c r="AX7" s="25"/>
      <c r="AY7" s="25"/>
      <c r="AZ7" s="25"/>
      <c r="BA7" s="25"/>
      <c r="BB7" s="25"/>
      <c r="BC7" s="25"/>
      <c r="BD7" s="25"/>
      <c r="BE7" s="25"/>
      <c r="BF7" s="25"/>
      <c r="BG7" s="25"/>
      <c r="BH7" s="25"/>
      <c r="BI7" s="25"/>
      <c r="BJ7" s="25"/>
      <c r="BK7" s="25"/>
      <c r="BL7" s="25"/>
      <c r="BM7" s="25"/>
      <c r="BN7" s="25"/>
    </row>
    <row r="8" spans="1:66" ht="14.25" customHeight="1">
      <c r="D8" s="25" t="s">
        <v>23</v>
      </c>
      <c r="E8" s="25" t="s">
        <v>25</v>
      </c>
      <c r="F8" s="23" t="s">
        <v>79</v>
      </c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7" t="s">
        <v>80</v>
      </c>
      <c r="S8" s="27" t="s">
        <v>80</v>
      </c>
      <c r="T8" s="27" t="s">
        <v>80</v>
      </c>
      <c r="U8" s="27" t="s">
        <v>80</v>
      </c>
      <c r="V8" s="27" t="s">
        <v>80</v>
      </c>
      <c r="W8" s="27" t="s">
        <v>80</v>
      </c>
      <c r="X8" s="25"/>
      <c r="Y8" s="25"/>
      <c r="Z8" s="25"/>
      <c r="AA8" s="25"/>
      <c r="AB8" s="25"/>
      <c r="AC8" s="25"/>
      <c r="AD8" s="25"/>
      <c r="AE8" s="25"/>
      <c r="AF8" s="25"/>
      <c r="AG8" s="25"/>
      <c r="AH8" s="25"/>
      <c r="AI8" s="25"/>
      <c r="AJ8" s="25"/>
      <c r="AK8" s="25"/>
      <c r="AL8" s="25"/>
      <c r="AM8" s="25"/>
      <c r="AN8" s="25"/>
      <c r="AO8" s="25"/>
      <c r="AP8" s="25"/>
      <c r="AQ8" s="25"/>
      <c r="AR8" s="25"/>
      <c r="AS8" s="25"/>
      <c r="AT8" s="25"/>
      <c r="AU8" s="25"/>
      <c r="AV8" s="25"/>
      <c r="AW8" s="25"/>
      <c r="AX8" s="25"/>
      <c r="AY8" s="25"/>
      <c r="AZ8" s="25"/>
      <c r="BA8" s="25"/>
      <c r="BB8" s="25"/>
      <c r="BC8" s="25"/>
      <c r="BD8" s="25"/>
      <c r="BE8" s="25"/>
      <c r="BF8" s="25"/>
      <c r="BG8" s="25"/>
      <c r="BH8" s="25"/>
      <c r="BI8" s="25"/>
      <c r="BJ8" s="25"/>
      <c r="BK8" s="25"/>
      <c r="BL8" s="25"/>
      <c r="BM8" s="25"/>
      <c r="BN8" s="25"/>
    </row>
    <row r="9" spans="1:66" ht="14.25" customHeight="1">
      <c r="D9" s="25" t="s">
        <v>23</v>
      </c>
      <c r="E9" s="25" t="s">
        <v>27</v>
      </c>
      <c r="F9" s="24" t="s">
        <v>81</v>
      </c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6" t="s">
        <v>80</v>
      </c>
      <c r="Y9" s="26" t="s">
        <v>80</v>
      </c>
      <c r="Z9" s="26" t="s">
        <v>80</v>
      </c>
      <c r="AA9" s="26" t="s">
        <v>80</v>
      </c>
      <c r="AB9" s="26" t="s">
        <v>80</v>
      </c>
      <c r="AC9" s="26" t="s">
        <v>80</v>
      </c>
      <c r="AD9" s="26" t="s">
        <v>80</v>
      </c>
      <c r="AE9" s="26" t="s">
        <v>80</v>
      </c>
      <c r="AF9" s="26" t="s">
        <v>80</v>
      </c>
      <c r="AG9" s="26" t="s">
        <v>80</v>
      </c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</row>
    <row r="10" spans="1:66" ht="14.25" customHeight="1">
      <c r="D10" s="25" t="s">
        <v>23</v>
      </c>
      <c r="E10" s="25" t="s">
        <v>29</v>
      </c>
      <c r="F10" s="24" t="s">
        <v>81</v>
      </c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6" t="s">
        <v>80</v>
      </c>
      <c r="AK10" s="26" t="s">
        <v>80</v>
      </c>
      <c r="AL10" s="26" t="s">
        <v>80</v>
      </c>
      <c r="AM10" s="26" t="s">
        <v>80</v>
      </c>
      <c r="AN10" s="26" t="s">
        <v>80</v>
      </c>
      <c r="AO10" s="25"/>
      <c r="AP10" s="25"/>
      <c r="AQ10" s="25"/>
      <c r="AR10" s="25"/>
      <c r="AS10" s="25"/>
      <c r="AT10" s="25"/>
      <c r="AU10" s="25"/>
      <c r="AV10" s="25"/>
      <c r="AW10" s="25"/>
      <c r="AX10" s="25"/>
      <c r="AY10" s="25"/>
      <c r="AZ10" s="25"/>
      <c r="BA10" s="25"/>
      <c r="BB10" s="25"/>
      <c r="BC10" s="25"/>
      <c r="BD10" s="25"/>
      <c r="BE10" s="25"/>
      <c r="BF10" s="25"/>
      <c r="BG10" s="25"/>
      <c r="BH10" s="25"/>
      <c r="BI10" s="25"/>
      <c r="BJ10" s="25"/>
      <c r="BK10" s="25"/>
      <c r="BL10" s="25"/>
      <c r="BM10" s="25"/>
      <c r="BN10" s="25"/>
    </row>
    <row r="11" spans="1:66" ht="14.25" customHeight="1">
      <c r="D11" s="43" t="s">
        <v>32</v>
      </c>
      <c r="E11" s="43" t="s">
        <v>34</v>
      </c>
      <c r="F11" s="23" t="s">
        <v>79</v>
      </c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27" t="s">
        <v>80</v>
      </c>
      <c r="W11" s="27" t="s">
        <v>80</v>
      </c>
      <c r="X11" s="27" t="s">
        <v>80</v>
      </c>
      <c r="Y11" s="43"/>
      <c r="Z11" s="43"/>
      <c r="AA11" s="43"/>
      <c r="AB11" s="43"/>
      <c r="AC11" s="43"/>
      <c r="AD11" s="43"/>
      <c r="AE11" s="43"/>
      <c r="AF11" s="43"/>
      <c r="AG11" s="43"/>
      <c r="AH11" s="43"/>
      <c r="AI11" s="43"/>
      <c r="AJ11" s="43"/>
      <c r="AK11" s="43"/>
      <c r="AL11" s="43"/>
      <c r="AM11" s="43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  <c r="BF11" s="43"/>
      <c r="BG11" s="43"/>
      <c r="BH11" s="43"/>
      <c r="BI11" s="43"/>
      <c r="BJ11" s="43"/>
      <c r="BK11" s="43"/>
      <c r="BL11" s="43"/>
      <c r="BM11" s="43"/>
      <c r="BN11" s="43"/>
    </row>
    <row r="12" spans="1:66" ht="14.25" customHeight="1">
      <c r="D12" s="43" t="s">
        <v>32</v>
      </c>
      <c r="E12" s="43" t="s">
        <v>35</v>
      </c>
      <c r="F12" s="23" t="s">
        <v>79</v>
      </c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  <c r="Y12" s="27" t="s">
        <v>80</v>
      </c>
      <c r="Z12" s="27" t="s">
        <v>80</v>
      </c>
      <c r="AA12" s="27" t="s">
        <v>80</v>
      </c>
      <c r="AB12" s="27" t="s">
        <v>80</v>
      </c>
      <c r="AC12" s="27" t="s">
        <v>80</v>
      </c>
      <c r="AD12" s="27" t="s">
        <v>80</v>
      </c>
      <c r="AE12" s="27" t="s">
        <v>80</v>
      </c>
      <c r="AF12" s="43"/>
      <c r="AG12" s="43"/>
      <c r="AH12" s="43"/>
      <c r="AI12" s="43"/>
      <c r="AJ12" s="43"/>
      <c r="AK12" s="43"/>
      <c r="AL12" s="43"/>
      <c r="AM12" s="43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  <c r="BF12" s="43"/>
      <c r="BG12" s="43"/>
      <c r="BH12" s="43"/>
      <c r="BI12" s="43"/>
      <c r="BJ12" s="43"/>
      <c r="BK12" s="43"/>
      <c r="BL12" s="43"/>
      <c r="BM12" s="43"/>
      <c r="BN12" s="43"/>
    </row>
    <row r="13" spans="1:66" ht="14.25" customHeight="1">
      <c r="D13" s="43" t="s">
        <v>32</v>
      </c>
      <c r="E13" s="43" t="s">
        <v>37</v>
      </c>
      <c r="F13" s="24" t="s">
        <v>81</v>
      </c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3"/>
      <c r="AA13" s="43"/>
      <c r="AB13" s="43"/>
      <c r="AC13" s="43"/>
      <c r="AD13" s="43"/>
      <c r="AE13" s="43"/>
      <c r="AF13" s="26" t="s">
        <v>80</v>
      </c>
      <c r="AG13" s="26" t="s">
        <v>80</v>
      </c>
      <c r="AH13" s="26" t="s">
        <v>80</v>
      </c>
      <c r="AI13" s="26" t="s">
        <v>80</v>
      </c>
      <c r="AJ13" s="26" t="s">
        <v>80</v>
      </c>
      <c r="AK13" s="26" t="s">
        <v>80</v>
      </c>
      <c r="AL13" s="26" t="s">
        <v>80</v>
      </c>
      <c r="AM13" s="43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  <c r="BF13" s="43"/>
      <c r="BG13" s="43"/>
      <c r="BH13" s="43"/>
      <c r="BI13" s="43"/>
      <c r="BJ13" s="43"/>
      <c r="BK13" s="43"/>
      <c r="BL13" s="43"/>
      <c r="BM13" s="43"/>
      <c r="BN13" s="43"/>
    </row>
    <row r="14" spans="1:66" ht="14.25" customHeight="1">
      <c r="D14" s="43" t="s">
        <v>32</v>
      </c>
      <c r="E14" s="43" t="s">
        <v>39</v>
      </c>
      <c r="F14" s="24" t="s">
        <v>81</v>
      </c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  <c r="Y14" s="43"/>
      <c r="Z14" s="43"/>
      <c r="AA14" s="43"/>
      <c r="AB14" s="43"/>
      <c r="AC14" s="43"/>
      <c r="AD14" s="43"/>
      <c r="AE14" s="43"/>
      <c r="AF14" s="43"/>
      <c r="AG14" s="43"/>
      <c r="AH14" s="43"/>
      <c r="AI14" s="43"/>
      <c r="AJ14" s="43"/>
      <c r="AK14" s="43"/>
      <c r="AL14" s="43"/>
      <c r="AM14" s="26" t="s">
        <v>80</v>
      </c>
      <c r="AN14" s="26" t="s">
        <v>80</v>
      </c>
      <c r="AO14" s="26" t="s">
        <v>80</v>
      </c>
      <c r="AP14" s="26" t="s">
        <v>80</v>
      </c>
      <c r="AQ14" s="26" t="s">
        <v>80</v>
      </c>
      <c r="AR14" s="26" t="s">
        <v>80</v>
      </c>
      <c r="AS14" s="26" t="s">
        <v>80</v>
      </c>
      <c r="AT14" s="26" t="s">
        <v>80</v>
      </c>
      <c r="AU14" s="26" t="s">
        <v>80</v>
      </c>
      <c r="AV14" s="26" t="s">
        <v>80</v>
      </c>
      <c r="AW14" s="26" t="s">
        <v>80</v>
      </c>
      <c r="AX14" s="26" t="s">
        <v>80</v>
      </c>
      <c r="AY14" s="43"/>
      <c r="AZ14" s="43"/>
      <c r="BA14" s="43"/>
      <c r="BB14" s="43"/>
      <c r="BC14" s="43"/>
      <c r="BD14" s="43"/>
      <c r="BE14" s="43"/>
      <c r="BF14" s="43"/>
      <c r="BG14" s="43"/>
      <c r="BH14" s="43"/>
      <c r="BI14" s="43"/>
      <c r="BJ14" s="43"/>
      <c r="BK14" s="43"/>
      <c r="BL14" s="43"/>
      <c r="BM14" s="43"/>
      <c r="BN14" s="43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D889B-4C7B-47FD-9405-27418BFA2379}">
  <sheetPr>
    <tabColor rgb="FF999999"/>
  </sheetPr>
  <dimension ref="B2:C234"/>
  <sheetViews>
    <sheetView showGridLines="0" workbookViewId="0">
      <selection activeCell="C30" sqref="C30"/>
    </sheetView>
  </sheetViews>
  <sheetFormatPr defaultRowHeight="15"/>
  <cols>
    <col min="2" max="2" width="19.28515625" customWidth="1"/>
    <col min="3" max="3" width="72.42578125" customWidth="1"/>
    <col min="6" max="7" width="10.42578125" bestFit="1" customWidth="1"/>
  </cols>
  <sheetData>
    <row r="2" spans="2:2" ht="21">
      <c r="B2" s="47" t="s">
        <v>82</v>
      </c>
    </row>
    <row r="3" spans="2:2">
      <c r="B3" s="48" t="s">
        <v>83</v>
      </c>
    </row>
    <row r="5" spans="2:2">
      <c r="B5" t="s">
        <v>84</v>
      </c>
    </row>
    <row r="6" spans="2:2">
      <c r="B6" t="s">
        <v>85</v>
      </c>
    </row>
    <row r="8" spans="2:2" ht="18.75">
      <c r="B8" s="46" t="s">
        <v>86</v>
      </c>
    </row>
    <row r="9" spans="2:2">
      <c r="B9" t="s">
        <v>87</v>
      </c>
    </row>
    <row r="11" spans="2:2">
      <c r="B11" s="1" t="s">
        <v>88</v>
      </c>
    </row>
    <row r="12" spans="2:2">
      <c r="B12" t="s">
        <v>89</v>
      </c>
    </row>
    <row r="14" spans="2:2">
      <c r="B14" s="1" t="s">
        <v>90</v>
      </c>
    </row>
    <row r="15" spans="2:2">
      <c r="B15" t="s">
        <v>91</v>
      </c>
    </row>
    <row r="17" spans="2:3">
      <c r="B17" t="s">
        <v>92</v>
      </c>
    </row>
    <row r="19" spans="2:3" ht="18.75">
      <c r="B19" s="46" t="s">
        <v>93</v>
      </c>
    </row>
    <row r="20" spans="2:3">
      <c r="B20" t="s">
        <v>94</v>
      </c>
    </row>
    <row r="22" spans="2:3">
      <c r="B22" s="50" t="s">
        <v>95</v>
      </c>
      <c r="C22" s="50" t="s">
        <v>96</v>
      </c>
    </row>
    <row r="23" spans="2:3">
      <c r="B23" s="49" t="s">
        <v>0</v>
      </c>
      <c r="C23" s="49" t="s">
        <v>97</v>
      </c>
    </row>
    <row r="24" spans="2:3">
      <c r="B24" s="49" t="s">
        <v>1</v>
      </c>
      <c r="C24" s="49" t="s">
        <v>98</v>
      </c>
    </row>
    <row r="25" spans="2:3">
      <c r="B25" s="49" t="s">
        <v>2</v>
      </c>
      <c r="C25" s="49" t="s">
        <v>99</v>
      </c>
    </row>
    <row r="26" spans="2:3">
      <c r="B26" s="49" t="s">
        <v>3</v>
      </c>
      <c r="C26" s="49" t="s">
        <v>100</v>
      </c>
    </row>
    <row r="27" spans="2:3">
      <c r="B27" s="49" t="s">
        <v>101</v>
      </c>
      <c r="C27" s="49" t="s">
        <v>102</v>
      </c>
    </row>
    <row r="28" spans="2:3">
      <c r="B28" s="49" t="s">
        <v>5</v>
      </c>
      <c r="C28" s="49" t="s">
        <v>103</v>
      </c>
    </row>
    <row r="29" spans="2:3">
      <c r="B29" s="49" t="s">
        <v>6</v>
      </c>
      <c r="C29" s="49" t="s">
        <v>104</v>
      </c>
    </row>
    <row r="30" spans="2:3">
      <c r="B30" s="49" t="s">
        <v>105</v>
      </c>
      <c r="C30" s="49" t="s">
        <v>106</v>
      </c>
    </row>
    <row r="31" spans="2:3">
      <c r="B31" s="49" t="s">
        <v>107</v>
      </c>
      <c r="C31" s="49" t="s">
        <v>108</v>
      </c>
    </row>
    <row r="32" spans="2:3">
      <c r="B32" s="49" t="s">
        <v>9</v>
      </c>
      <c r="C32" s="49" t="s">
        <v>109</v>
      </c>
    </row>
    <row r="33" spans="2:3">
      <c r="B33" s="49" t="s">
        <v>10</v>
      </c>
      <c r="C33" s="49" t="s">
        <v>110</v>
      </c>
    </row>
    <row r="35" spans="2:3" ht="18.75">
      <c r="B35" s="46" t="s">
        <v>111</v>
      </c>
    </row>
    <row r="36" spans="2:3">
      <c r="B36" t="s">
        <v>112</v>
      </c>
    </row>
    <row r="38" spans="2:3">
      <c r="B38" s="1" t="s">
        <v>113</v>
      </c>
    </row>
    <row r="39" spans="2:3">
      <c r="B39" t="s">
        <v>114</v>
      </c>
    </row>
    <row r="41" spans="2:3">
      <c r="B41" s="1" t="s">
        <v>115</v>
      </c>
    </row>
    <row r="42" spans="2:3">
      <c r="B42" t="s">
        <v>116</v>
      </c>
    </row>
    <row r="44" spans="2:3">
      <c r="B44" s="1" t="s">
        <v>117</v>
      </c>
    </row>
    <row r="45" spans="2:3">
      <c r="B45" t="s">
        <v>118</v>
      </c>
    </row>
    <row r="47" spans="2:3">
      <c r="B47" s="1" t="s">
        <v>119</v>
      </c>
    </row>
    <row r="48" spans="2:3">
      <c r="B48" t="s">
        <v>120</v>
      </c>
    </row>
    <row r="50" spans="2:2">
      <c r="B50" t="s">
        <v>121</v>
      </c>
    </row>
    <row r="52" spans="2:2" ht="18.75">
      <c r="B52" s="46" t="s">
        <v>122</v>
      </c>
    </row>
    <row r="53" spans="2:2">
      <c r="B53" t="s">
        <v>123</v>
      </c>
    </row>
    <row r="55" spans="2:2">
      <c r="B55" t="s">
        <v>124</v>
      </c>
    </row>
    <row r="57" spans="2:2">
      <c r="B57" t="s">
        <v>125</v>
      </c>
    </row>
    <row r="59" spans="2:2">
      <c r="B59" t="s">
        <v>126</v>
      </c>
    </row>
    <row r="61" spans="2:2">
      <c r="B61" t="s">
        <v>127</v>
      </c>
    </row>
    <row r="63" spans="2:2">
      <c r="B63" s="1" t="s">
        <v>128</v>
      </c>
    </row>
    <row r="64" spans="2:2">
      <c r="B64" s="1" t="s">
        <v>129</v>
      </c>
    </row>
    <row r="65" spans="2:2">
      <c r="B65" s="1" t="s">
        <v>130</v>
      </c>
    </row>
    <row r="66" spans="2:2">
      <c r="B66" s="1" t="s">
        <v>131</v>
      </c>
    </row>
    <row r="67" spans="2:2">
      <c r="B67" s="1" t="s">
        <v>132</v>
      </c>
    </row>
    <row r="69" spans="2:2">
      <c r="B69" t="s">
        <v>133</v>
      </c>
    </row>
    <row r="71" spans="2:2" ht="18.75">
      <c r="B71" s="46" t="s">
        <v>134</v>
      </c>
    </row>
    <row r="72" spans="2:2">
      <c r="B72" t="s">
        <v>135</v>
      </c>
    </row>
    <row r="74" spans="2:2">
      <c r="B74" t="s">
        <v>136</v>
      </c>
    </row>
    <row r="75" spans="2:2">
      <c r="B75" s="1" t="s">
        <v>137</v>
      </c>
    </row>
    <row r="76" spans="2:2">
      <c r="B76" s="1" t="s">
        <v>138</v>
      </c>
    </row>
    <row r="77" spans="2:2">
      <c r="B77" s="1" t="s">
        <v>139</v>
      </c>
    </row>
    <row r="79" spans="2:2">
      <c r="B79" t="s">
        <v>140</v>
      </c>
    </row>
    <row r="80" spans="2:2">
      <c r="B80" t="s">
        <v>141</v>
      </c>
    </row>
    <row r="81" spans="2:2">
      <c r="B81" t="s">
        <v>142</v>
      </c>
    </row>
    <row r="82" spans="2:2">
      <c r="B82" t="s">
        <v>143</v>
      </c>
    </row>
    <row r="83" spans="2:2">
      <c r="B83" t="s">
        <v>144</v>
      </c>
    </row>
    <row r="84" spans="2:2">
      <c r="B84" t="s">
        <v>145</v>
      </c>
    </row>
    <row r="85" spans="2:2">
      <c r="B85" t="s">
        <v>146</v>
      </c>
    </row>
    <row r="86" spans="2:2">
      <c r="B86" t="s">
        <v>147</v>
      </c>
    </row>
    <row r="88" spans="2:2">
      <c r="B88" t="s">
        <v>148</v>
      </c>
    </row>
    <row r="90" spans="2:2" ht="18.75">
      <c r="B90" s="46" t="s">
        <v>149</v>
      </c>
    </row>
    <row r="92" spans="2:2">
      <c r="B92" t="s">
        <v>150</v>
      </c>
    </row>
    <row r="93" spans="2:2">
      <c r="B93" s="1" t="s">
        <v>1</v>
      </c>
    </row>
    <row r="94" spans="2:2">
      <c r="B94" s="1" t="s">
        <v>3</v>
      </c>
    </row>
    <row r="95" spans="2:2">
      <c r="B95" s="1" t="s">
        <v>9</v>
      </c>
    </row>
    <row r="97" spans="2:2">
      <c r="B97" t="s">
        <v>151</v>
      </c>
    </row>
    <row r="99" spans="2:2">
      <c r="B99" t="s">
        <v>152</v>
      </c>
    </row>
    <row r="101" spans="2:2">
      <c r="B101" s="44" t="s">
        <v>153</v>
      </c>
    </row>
    <row r="103" spans="2:2">
      <c r="B103" s="1" t="s">
        <v>154</v>
      </c>
    </row>
    <row r="104" spans="2:2">
      <c r="B104" s="1" t="s">
        <v>155</v>
      </c>
    </row>
    <row r="105" spans="2:2">
      <c r="B105" s="1" t="s">
        <v>156</v>
      </c>
    </row>
    <row r="106" spans="2:2">
      <c r="B106" s="1" t="s">
        <v>157</v>
      </c>
    </row>
    <row r="108" spans="2:2">
      <c r="B108" t="s">
        <v>158</v>
      </c>
    </row>
    <row r="110" spans="2:2" ht="18.75">
      <c r="B110" s="51" t="s">
        <v>159</v>
      </c>
    </row>
    <row r="112" spans="2:2">
      <c r="B112" t="s">
        <v>160</v>
      </c>
    </row>
    <row r="114" spans="2:2">
      <c r="B114" t="s">
        <v>161</v>
      </c>
    </row>
    <row r="116" spans="2:2">
      <c r="B116" s="1" t="s">
        <v>1</v>
      </c>
    </row>
    <row r="118" spans="2:2">
      <c r="B118" s="45" t="s">
        <v>162</v>
      </c>
    </row>
    <row r="120" spans="2:2">
      <c r="B120" t="s">
        <v>163</v>
      </c>
    </row>
    <row r="122" spans="2:2">
      <c r="B122" s="45" t="s">
        <v>164</v>
      </c>
    </row>
    <row r="124" spans="2:2">
      <c r="B124" s="45" t="s">
        <v>165</v>
      </c>
    </row>
    <row r="126" spans="2:2">
      <c r="B126" s="45" t="s">
        <v>166</v>
      </c>
    </row>
    <row r="128" spans="2:2">
      <c r="B128" s="45" t="s">
        <v>167</v>
      </c>
    </row>
    <row r="130" spans="2:2">
      <c r="B130" s="45" t="s">
        <v>168</v>
      </c>
    </row>
    <row r="132" spans="2:2">
      <c r="B132" t="s">
        <v>169</v>
      </c>
    </row>
    <row r="136" spans="2:2" ht="18.75">
      <c r="B136" s="51" t="s">
        <v>170</v>
      </c>
    </row>
    <row r="138" spans="2:2">
      <c r="B138" t="s">
        <v>171</v>
      </c>
    </row>
    <row r="139" spans="2:2">
      <c r="B139" t="s">
        <v>172</v>
      </c>
    </row>
    <row r="140" spans="2:2">
      <c r="B140" t="s">
        <v>173</v>
      </c>
    </row>
    <row r="143" spans="2:2" ht="18.75">
      <c r="B143" s="51" t="s">
        <v>174</v>
      </c>
    </row>
    <row r="145" spans="2:2">
      <c r="B145" t="s">
        <v>175</v>
      </c>
    </row>
    <row r="147" spans="2:2">
      <c r="B147" t="s">
        <v>176</v>
      </c>
    </row>
    <row r="148" spans="2:2">
      <c r="B148" t="s">
        <v>177</v>
      </c>
    </row>
    <row r="149" spans="2:2">
      <c r="B149" t="s">
        <v>178</v>
      </c>
    </row>
    <row r="150" spans="2:2">
      <c r="B150" t="s">
        <v>179</v>
      </c>
    </row>
    <row r="151" spans="2:2">
      <c r="B151" t="s">
        <v>180</v>
      </c>
    </row>
    <row r="152" spans="2:2">
      <c r="B152" t="s">
        <v>181</v>
      </c>
    </row>
    <row r="153" spans="2:2">
      <c r="B153" t="s">
        <v>182</v>
      </c>
    </row>
    <row r="155" spans="2:2">
      <c r="B155" t="s">
        <v>183</v>
      </c>
    </row>
    <row r="159" spans="2:2" ht="18.75">
      <c r="B159" s="51" t="s">
        <v>184</v>
      </c>
    </row>
    <row r="161" spans="2:2">
      <c r="B161" s="44" t="s">
        <v>185</v>
      </c>
    </row>
    <row r="162" spans="2:2">
      <c r="B162" t="s">
        <v>186</v>
      </c>
    </row>
    <row r="164" spans="2:2">
      <c r="B164" t="s">
        <v>187</v>
      </c>
    </row>
    <row r="166" spans="2:2">
      <c r="B166" s="44" t="s">
        <v>188</v>
      </c>
    </row>
    <row r="167" spans="2:2">
      <c r="B167" t="s">
        <v>189</v>
      </c>
    </row>
    <row r="169" spans="2:2">
      <c r="B169" t="s">
        <v>187</v>
      </c>
    </row>
    <row r="171" spans="2:2">
      <c r="B171" s="44" t="s">
        <v>190</v>
      </c>
    </row>
    <row r="172" spans="2:2">
      <c r="B172" t="s">
        <v>191</v>
      </c>
    </row>
    <row r="174" spans="2:2">
      <c r="B174" t="s">
        <v>187</v>
      </c>
    </row>
    <row r="176" spans="2:2">
      <c r="B176" s="44" t="s">
        <v>192</v>
      </c>
    </row>
    <row r="177" spans="2:2">
      <c r="B177" t="s">
        <v>193</v>
      </c>
    </row>
    <row r="179" spans="2:2">
      <c r="B179" t="s">
        <v>187</v>
      </c>
    </row>
    <row r="181" spans="2:2">
      <c r="B181" s="44" t="s">
        <v>194</v>
      </c>
    </row>
    <row r="182" spans="2:2">
      <c r="B182" t="s">
        <v>195</v>
      </c>
    </row>
    <row r="184" spans="2:2">
      <c r="B184" t="s">
        <v>187</v>
      </c>
    </row>
    <row r="186" spans="2:2">
      <c r="B186" s="44" t="s">
        <v>196</v>
      </c>
    </row>
    <row r="187" spans="2:2">
      <c r="B187" t="s">
        <v>197</v>
      </c>
    </row>
    <row r="189" spans="2:2">
      <c r="B189" t="s">
        <v>187</v>
      </c>
    </row>
    <row r="191" spans="2:2">
      <c r="B191" s="44" t="s">
        <v>198</v>
      </c>
    </row>
    <row r="192" spans="2:2">
      <c r="B192" t="s">
        <v>199</v>
      </c>
    </row>
    <row r="196" spans="2:2" ht="18.75">
      <c r="B196" s="51" t="s">
        <v>200</v>
      </c>
    </row>
    <row r="198" spans="2:2">
      <c r="B198" t="s">
        <v>201</v>
      </c>
    </row>
    <row r="200" spans="2:2">
      <c r="B200" t="s">
        <v>202</v>
      </c>
    </row>
    <row r="202" spans="2:2">
      <c r="B202" t="s">
        <v>203</v>
      </c>
    </row>
    <row r="204" spans="2:2">
      <c r="B204" t="s">
        <v>204</v>
      </c>
    </row>
    <row r="206" spans="2:2">
      <c r="B206" t="s">
        <v>205</v>
      </c>
    </row>
    <row r="208" spans="2:2">
      <c r="B208" t="s">
        <v>206</v>
      </c>
    </row>
    <row r="212" spans="2:2" ht="18.75">
      <c r="B212" s="51" t="s">
        <v>207</v>
      </c>
    </row>
    <row r="214" spans="2:2">
      <c r="B214" t="s">
        <v>208</v>
      </c>
    </row>
    <row r="215" spans="2:2">
      <c r="B215" t="s">
        <v>209</v>
      </c>
    </row>
    <row r="216" spans="2:2">
      <c r="B216" t="s">
        <v>210</v>
      </c>
    </row>
    <row r="218" spans="2:2">
      <c r="B218" t="s">
        <v>211</v>
      </c>
    </row>
    <row r="222" spans="2:2" ht="18.75">
      <c r="B222" s="51" t="s">
        <v>212</v>
      </c>
    </row>
    <row r="224" spans="2:2">
      <c r="B224" t="s">
        <v>213</v>
      </c>
    </row>
    <row r="226" spans="2:2">
      <c r="B226" t="s">
        <v>214</v>
      </c>
    </row>
    <row r="228" spans="2:2">
      <c r="B228" t="s">
        <v>215</v>
      </c>
    </row>
    <row r="230" spans="2:2">
      <c r="B230" s="1" t="s">
        <v>216</v>
      </c>
    </row>
    <row r="234" spans="2:2">
      <c r="B234" s="44" t="s">
        <v>217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Tasks</vt:lpstr>
      <vt:lpstr>Timeline</vt:lpstr>
      <vt:lpstr>Guideline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2026-09-16T17:10:55Z</dcterms:created>
  <dcterms:modified xsi:type="dcterms:W3CDTF">2026-09-16T17:14:50Z</dcterms:modified>
  <cp:category/>
  <cp:contentStatus/>
</cp:coreProperties>
</file>